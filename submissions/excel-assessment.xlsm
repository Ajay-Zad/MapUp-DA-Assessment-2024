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5" codeName="{3D1A710C-6663-3D7B-7F91-EC182F24A4BC}"/>
  <workbookPr codeName="ThisWorkbook1" hidePivotFieldList="1" defaultThemeVersion="166925"/>
  <mc:AlternateContent xmlns:mc="http://schemas.openxmlformats.org/markup-compatibility/2006">
    <mc:Choice Requires="x15">
      <x15ac:absPath xmlns:x15ac="http://schemas.microsoft.com/office/spreadsheetml/2010/11/ac" url="https://d.docs.live.net/4b1027f024ea292e/Desktop/"/>
    </mc:Choice>
  </mc:AlternateContent>
  <xr:revisionPtr revIDLastSave="17" documentId="8_{AA7D50BA-1850-4B13-9439-CE9FD4897309}" xr6:coauthVersionLast="36" xr6:coauthVersionMax="47" xr10:uidLastSave="{3BFAE797-29E8-454D-AEF9-0D981D966D06}"/>
  <bookViews>
    <workbookView xWindow="0" yWindow="0" windowWidth="23040" windowHeight="906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D22" i="19"/>
  <c r="D12" i="19"/>
  <c r="D13" i="19"/>
  <c r="D14" i="19"/>
  <c r="D15" i="19"/>
  <c r="D16" i="19"/>
  <c r="D17" i="19"/>
  <c r="D18" i="19"/>
  <c r="D19" i="19"/>
  <c r="D20" i="19"/>
  <c r="D21" i="19"/>
  <c r="B30" i="18"/>
  <c r="B29" i="18"/>
  <c r="B28" i="18"/>
  <c r="F6" i="18"/>
  <c r="F30" i="18" s="1"/>
  <c r="E6" i="18"/>
  <c r="E30" i="18" s="1"/>
  <c r="D7" i="18"/>
  <c r="D29" i="18" s="1"/>
  <c r="D6" i="18"/>
  <c r="C6" i="18"/>
  <c r="C30" i="18" s="1"/>
  <c r="B6"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B7" i="18"/>
  <c r="B8" i="18"/>
  <c r="B9" i="18"/>
  <c r="B10" i="18"/>
  <c r="B11" i="18"/>
  <c r="B12" i="18"/>
  <c r="B13" i="18"/>
  <c r="B14" i="18"/>
  <c r="B15" i="18"/>
  <c r="B16" i="18"/>
  <c r="B17" i="18"/>
  <c r="B18" i="18"/>
  <c r="B19" i="18"/>
  <c r="B20" i="18"/>
  <c r="B21" i="18"/>
  <c r="B22" i="18"/>
  <c r="B23" i="18"/>
  <c r="B24" i="18"/>
  <c r="B25" i="18"/>
  <c r="B26" i="18"/>
  <c r="B27" i="18"/>
  <c r="H42" i="1"/>
  <c r="F29" i="18" l="1"/>
  <c r="F28" i="18"/>
  <c r="E28" i="18"/>
  <c r="E29" i="18"/>
  <c r="D28" i="18"/>
  <c r="D30" i="18"/>
  <c r="C28" i="18"/>
  <c r="C29" i="18"/>
</calcChain>
</file>

<file path=xl/sharedStrings.xml><?xml version="1.0" encoding="utf-8"?>
<sst xmlns="http://schemas.openxmlformats.org/spreadsheetml/2006/main" count="422" uniqueCount="199">
  <si>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</si>
  <si>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</si>
  <si>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</si>
  <si>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</si>
  <si>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</si>
  <si>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</si>
  <si>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</si>
  <si>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</si>
  <si>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</si>
  <si>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</si>
  <si>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</si>
  <si>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</si>
  <si>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</si>
  <si>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</si>
  <si>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</si>
  <si>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</si>
  <si>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</si>
  <si>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</si>
  <si>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</si>
  <si>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</si>
  <si>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</si>
  <si>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</si>
  <si>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</si>
  <si>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</si>
  <si>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</si>
  <si>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</si>
  <si>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</si>
  <si>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</si>
  <si>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</si>
  <si>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</si>
  <si>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</si>
  <si>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</si>
  <si>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</si>
  <si>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</si>
  <si>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</si>
  <si>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</si>
  <si>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</si>
  <si>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</si>
  <si>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</si>
  <si>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</si>
  <si>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</si>
  <si>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</si>
  <si>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</si>
  <si>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</si>
  <si>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</si>
  <si>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</si>
  <si>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</si>
  <si>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</si>
  <si>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</si>
  <si>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</si>
  <si>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</si>
  <si>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</si>
  <si>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</si>
  <si>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</si>
  <si>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</si>
  <si>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</si>
  <si>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</si>
  <si>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</si>
  <si>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</si>
  <si>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</si>
  <si>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</si>
  <si>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</si>
  <si>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</si>
  <si>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</si>
  <si>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</si>
  <si>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</si>
  <si>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</si>
  <si>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</si>
  <si>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</si>
  <si>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</si>
  <si>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</si>
  <si>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</si>
  <si>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</si>
  <si>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</si>
  <si>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</si>
  <si>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</si>
  <si>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</si>
  <si>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</si>
  <si>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</si>
  <si>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</si>
  <si>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</si>
  <si>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</si>
  <si>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</si>
  <si>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</si>
  <si>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</si>
  <si>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</si>
  <si>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</si>
  <si>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</si>
  <si>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</si>
  <si>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</si>
  <si>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</si>
  <si>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</si>
  <si>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</si>
  <si>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</si>
  <si>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</si>
  <si>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</si>
  <si>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</si>
  <si>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</si>
  <si>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</si>
  <si>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</si>
  <si>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</si>
  <si>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</si>
  <si>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</si>
  <si>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</si>
  <si>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</si>
  <si>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</si>
  <si>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</si>
  <si>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</si>
  <si>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</si>
  <si>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</si>
  <si>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</si>
  <si>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</si>
  <si>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</si>
  <si>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</si>
  <si>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</si>
  <si>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</si>
  <si>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</si>
  <si>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</si>
  <si>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</si>
  <si>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</si>
  <si>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</si>
  <si>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</si>
  <si>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</si>
  <si>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</si>
  <si>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</si>
  <si>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</si>
  <si>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</si>
  <si>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</si>
  <si>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</si>
  <si>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</si>
  <si>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</si>
  <si>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</si>
  <si>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</si>
  <si>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</si>
  <si>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</si>
  <si>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</si>
  <si>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</si>
  <si>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</si>
  <si>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</si>
  <si>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</si>
  <si>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</si>
  <si>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</si>
  <si>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</si>
  <si>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</si>
  <si>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</si>
  <si>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</si>
  <si>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</si>
  <si>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</si>
  <si>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</si>
  <si>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</si>
  <si>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</si>
  <si>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</si>
  <si>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</si>
  <si>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</si>
  <si>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</si>
  <si>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</si>
  <si>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</si>
  <si>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</si>
  <si>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</si>
  <si>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</si>
  <si>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</si>
  <si>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</si>
  <si>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</si>
  <si>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</si>
  <si>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</si>
  <si>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</si>
  <si>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</si>
  <si>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</si>
  <si>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</si>
  <si>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</si>
  <si>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</si>
  <si>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</si>
  <si>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</si>
  <si>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</si>
  <si>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</si>
  <si>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</si>
  <si>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</si>
  <si>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 of Values &gt; 20</t>
  </si>
  <si>
    <t>1) Highlight the entire data range.
2) In the Home tab, choose Conditional Formatting.
3) Click New Rule.
4) Pick "Format only cells that contain."
5) Set the rule for cells with -1, then choose a red fill under Format.
6) Repeat for cells with 0, but this time use a green fill.</t>
  </si>
  <si>
    <t>1) Highlight the first row.
2) Open the View tab.
3) Click Freeze Panes, then choose Freeze Top Row.</t>
  </si>
  <si>
    <r>
      <t xml:space="preserve">1) Click on a blank cell for the sum result.
2) Enter the formula: </t>
    </r>
    <r>
      <rPr>
        <b/>
        <sz val="10"/>
        <color rgb="FF000000"/>
        <rFont val="Calibri"/>
        <family val="2"/>
        <scheme val="minor"/>
      </rPr>
      <t>=SUMIF(H2:H40, "&gt;20").</t>
    </r>
    <r>
      <rPr>
        <sz val="10"/>
        <color rgb="FF000000"/>
        <rFont val="Calibri"/>
        <family val="2"/>
        <scheme val="minor"/>
      </rPr>
      <t xml:space="preserve">
3) This adds up all values in </t>
    </r>
    <r>
      <rPr>
        <b/>
        <sz val="10"/>
        <color rgb="FF000000"/>
        <rFont val="Calibri"/>
        <family val="2"/>
        <scheme val="minor"/>
      </rPr>
      <t>column H</t>
    </r>
    <r>
      <rPr>
        <sz val="10"/>
        <color rgb="FF000000"/>
        <rFont val="Calibri"/>
        <family val="2"/>
        <scheme val="minor"/>
      </rPr>
      <t xml:space="preserve"> that are above 20.</t>
    </r>
  </si>
  <si>
    <t>1) Highlight all '-1' values in red colour and all '0' values in green.</t>
  </si>
  <si>
    <t>2) Freeze the top row</t>
  </si>
  <si>
    <t>3) Give the sum of all values greater than '20' in column H labelled 'car2'</t>
  </si>
  <si>
    <t>4) Format the dates given in column X labelled 'dates' in format: 'YYYY-MM-DD'</t>
  </si>
  <si>
    <t>A2:E34A30A5:E34</t>
  </si>
  <si>
    <r>
      <t xml:space="preserve">1) Highlight the cells in column X.
2) Right-click and select "Format Cells."
3) Go to the "Date" tab.
4) Select </t>
    </r>
    <r>
      <rPr>
        <b/>
        <sz val="11"/>
        <color rgb="FF000000"/>
        <rFont val="Calibri"/>
        <family val="2"/>
        <scheme val="minor"/>
      </rPr>
      <t>YYYY-MM-DD</t>
    </r>
    <r>
      <rPr>
        <sz val="11"/>
        <color rgb="FF000000"/>
        <rFont val="Calibri"/>
        <family val="2"/>
        <scheme val="minor"/>
      </rPr>
      <t xml:space="preserve"> as the format and hit OK.</t>
    </r>
  </si>
  <si>
    <r>
      <t>1) To fill the</t>
    </r>
    <r>
      <rPr>
        <b/>
        <sz val="10"/>
        <color rgb="FF000000"/>
        <rFont val="Calibri"/>
        <family val="2"/>
        <scheme val="minor"/>
      </rPr>
      <t xml:space="preserve"> car1 values</t>
    </r>
    <r>
      <rPr>
        <sz val="10"/>
        <color rgb="FF000000"/>
        <rFont val="Calibri"/>
        <family val="2"/>
        <scheme val="minor"/>
      </rPr>
      <t xml:space="preserve"> corresponding to names from dataset,use vlookup() function :  </t>
    </r>
    <r>
      <rPr>
        <b/>
        <sz val="10"/>
        <color rgb="FF000000"/>
        <rFont val="Calibri"/>
        <family val="2"/>
        <scheme val="minor"/>
      </rPr>
      <t>=VLOOKUP(A6:A27,Dataset!A1:G40,7,FALSE)</t>
    </r>
  </si>
  <si>
    <r>
      <t xml:space="preserve">2) To fill the </t>
    </r>
    <r>
      <rPr>
        <b/>
        <sz val="10"/>
        <color rgb="FF000000"/>
        <rFont val="Calibri"/>
        <family val="2"/>
        <scheme val="minor"/>
      </rPr>
      <t>bus2 values</t>
    </r>
    <r>
      <rPr>
        <sz val="10"/>
        <color rgb="FF000000"/>
        <rFont val="Calibri"/>
        <family val="2"/>
        <scheme val="minor"/>
      </rPr>
      <t xml:space="preserve"> corresponding to names from dataset,use vlookup() function :  </t>
    </r>
    <r>
      <rPr>
        <b/>
        <sz val="10"/>
        <color rgb="FF000000"/>
        <rFont val="Calibri"/>
        <family val="2"/>
        <scheme val="minor"/>
      </rPr>
      <t>=VLOOKUP(A6:A27,Dataset!A1:N40,14,FALSE)</t>
    </r>
  </si>
  <si>
    <r>
      <t xml:space="preserve">3) To fill the </t>
    </r>
    <r>
      <rPr>
        <b/>
        <sz val="10"/>
        <color rgb="FF000000"/>
        <rFont val="Calibri"/>
        <family val="2"/>
        <scheme val="minor"/>
      </rPr>
      <t>rv3 values</t>
    </r>
    <r>
      <rPr>
        <sz val="10"/>
        <color rgb="FF000000"/>
        <rFont val="Calibri"/>
        <family val="2"/>
        <scheme val="minor"/>
      </rPr>
      <t xml:space="preserve"> corresponding to names from dataset,use vlookup() function :  </t>
    </r>
    <r>
      <rPr>
        <b/>
        <sz val="10"/>
        <color rgb="FF000000"/>
        <rFont val="Calibri"/>
        <family val="2"/>
        <scheme val="minor"/>
      </rPr>
      <t>=VLOOKUP(A6:A27,Dataset!A1:R40,18,FALSE)</t>
    </r>
  </si>
  <si>
    <r>
      <t xml:space="preserve">4) To fill the </t>
    </r>
    <r>
      <rPr>
        <b/>
        <sz val="10"/>
        <color rgb="FF000000"/>
        <rFont val="Calibri"/>
        <family val="2"/>
        <scheme val="minor"/>
      </rPr>
      <t>truck2 values</t>
    </r>
    <r>
      <rPr>
        <sz val="10"/>
        <color rgb="FF000000"/>
        <rFont val="Calibri"/>
        <family val="2"/>
        <scheme val="minor"/>
      </rPr>
      <t xml:space="preserve"> corresponding to names from dataset,use vlookup() function :  </t>
    </r>
    <r>
      <rPr>
        <b/>
        <sz val="10"/>
        <color rgb="FF000000"/>
        <rFont val="Calibri"/>
        <family val="2"/>
        <scheme val="minor"/>
      </rPr>
      <t>=VLOOKUP(A6:A27,Dataset!A1:T40,20,FALSE</t>
    </r>
    <r>
      <rPr>
        <sz val="10"/>
        <color rgb="FF000000"/>
        <rFont val="Calibri"/>
        <family val="2"/>
        <scheme val="minor"/>
      </rPr>
      <t>)</t>
    </r>
  </si>
  <si>
    <r>
      <t xml:space="preserve">5) To fill the </t>
    </r>
    <r>
      <rPr>
        <b/>
        <sz val="10"/>
        <color rgb="FF000000"/>
        <rFont val="Calibri"/>
        <family val="2"/>
        <scheme val="minor"/>
      </rPr>
      <t>tax2 values</t>
    </r>
    <r>
      <rPr>
        <sz val="10"/>
        <color rgb="FF000000"/>
        <rFont val="Calibri"/>
        <family val="2"/>
        <scheme val="minor"/>
      </rPr>
      <t xml:space="preserve"> corresponding to names from dataset,use vlookup() function : </t>
    </r>
    <r>
      <rPr>
        <b/>
        <sz val="10"/>
        <color rgb="FF000000"/>
        <rFont val="Calibri"/>
        <family val="2"/>
        <scheme val="minor"/>
      </rPr>
      <t xml:space="preserve"> =VLOOKUP(A6:A27,Dataset!A1:V40,22,FALSE)</t>
    </r>
  </si>
  <si>
    <r>
      <t xml:space="preserve">5) To fill the </t>
    </r>
    <r>
      <rPr>
        <b/>
        <sz val="10"/>
        <color rgb="FF000000"/>
        <rFont val="Calibri"/>
        <family val="2"/>
        <scheme val="minor"/>
      </rPr>
      <t>Minimum</t>
    </r>
    <r>
      <rPr>
        <sz val="10"/>
        <color rgb="FF000000"/>
        <rFont val="Calibri"/>
        <family val="2"/>
        <scheme val="minor"/>
      </rPr>
      <t xml:space="preserve"> corresponding to names from dataset,use MIN() function : </t>
    </r>
    <r>
      <rPr>
        <b/>
        <sz val="10"/>
        <color rgb="FF000000"/>
        <rFont val="Calibri"/>
        <family val="2"/>
        <scheme val="minor"/>
      </rPr>
      <t xml:space="preserve"> =MIN(B6:B27)</t>
    </r>
  </si>
  <si>
    <r>
      <t xml:space="preserve">5) To fill the </t>
    </r>
    <r>
      <rPr>
        <b/>
        <sz val="10"/>
        <color rgb="FF000000"/>
        <rFont val="Calibri"/>
        <family val="2"/>
        <scheme val="minor"/>
      </rPr>
      <t>Maximum</t>
    </r>
    <r>
      <rPr>
        <sz val="10"/>
        <color rgb="FF000000"/>
        <rFont val="Calibri"/>
        <family val="2"/>
        <scheme val="minor"/>
      </rPr>
      <t xml:space="preserve"> corresponding to names from dataset,use MAX() function : </t>
    </r>
    <r>
      <rPr>
        <b/>
        <sz val="10"/>
        <color rgb="FF000000"/>
        <rFont val="Calibri"/>
        <family val="2"/>
        <scheme val="minor"/>
      </rPr>
      <t>=MAX(B6:B27)</t>
    </r>
  </si>
  <si>
    <r>
      <t xml:space="preserve">5) To fill the </t>
    </r>
    <r>
      <rPr>
        <b/>
        <sz val="10"/>
        <color rgb="FF000000"/>
        <rFont val="Calibri"/>
        <family val="2"/>
        <scheme val="minor"/>
      </rPr>
      <t>Average</t>
    </r>
    <r>
      <rPr>
        <sz val="10"/>
        <color rgb="FF000000"/>
        <rFont val="Calibri"/>
        <family val="2"/>
        <scheme val="minor"/>
      </rPr>
      <t xml:space="preserve"> corresponding to names from dataset,use AVERAGE() function : </t>
    </r>
    <r>
      <rPr>
        <b/>
        <sz val="10"/>
        <color rgb="FF000000"/>
        <rFont val="Calibri"/>
        <family val="2"/>
        <scheme val="minor"/>
      </rPr>
      <t xml:space="preserve"> =AVERAGE(B6:B27)</t>
    </r>
  </si>
  <si>
    <r>
      <rPr>
        <b/>
        <sz val="14"/>
        <color rgb="FF000000"/>
        <rFont val="Calibri"/>
        <family val="2"/>
        <scheme val="minor"/>
      </rPr>
      <t>Using Text to Columns:</t>
    </r>
    <r>
      <rPr>
        <sz val="11"/>
        <color rgb="FF000000"/>
        <rFont val="Calibri"/>
        <family val="2"/>
        <scheme val="minor"/>
      </rPr>
      <t xml:space="preserve">
1) Select the column with the combined data (in this case, "value").
2) Go to the Data tab and click Text to Columns.
3) Choose Delimited, then click Next.
4) Select Other as the delimiter and type a hyphen (-), then click Next.
5) Click Finish, and the data will be split across multiple columns.</t>
    </r>
  </si>
  <si>
    <r>
      <t xml:space="preserve">Using the IFERROR() and SUM():
</t>
    </r>
    <r>
      <rPr>
        <sz val="12"/>
        <color rgb="FF000000"/>
        <rFont val="Calibri"/>
        <family val="2"/>
        <scheme val="minor"/>
      </rPr>
      <t>1) =IFERROR(C12,20) (Once done, drag it down and apply this condition for all the rows)
2) =SUM(D12:D21)    (To calculate the SUM of all the rows in the column)</t>
    </r>
  </si>
  <si>
    <r>
      <rPr>
        <b/>
        <sz val="14"/>
        <color rgb="FF000000"/>
        <rFont val="Calibri"/>
        <family val="2"/>
        <scheme val="minor"/>
      </rPr>
      <t xml:space="preserve">Formula/Functionality used:  </t>
    </r>
    <r>
      <rPr>
        <b/>
        <sz val="10"/>
        <color rgb="FF000000"/>
        <rFont val="Calibri"/>
        <family val="2"/>
        <scheme val="minor"/>
      </rPr>
      <t xml:space="preserve">=INDEX($A$9:$J$18,MATCH(VLOOKUP(A23:A35,$M$9:$N$18,2,FALSE),$A$9:$A$18,0),MATCH(VLOOKUP(B23:B35,$M$9:$N$18,2,FALSE),$A$9:$J$9,0))
</t>
    </r>
    <r>
      <rPr>
        <b/>
        <sz val="14"/>
        <color rgb="FF000000"/>
        <rFont val="Calibri"/>
        <family val="2"/>
        <scheme val="minor"/>
      </rPr>
      <t>Explanation:</t>
    </r>
    <r>
      <rPr>
        <b/>
        <sz val="10"/>
        <color rgb="FF000000"/>
        <rFont val="Calibri"/>
        <family val="2"/>
        <scheme val="minor"/>
      </rPr>
      <t xml:space="preserve">
1) First VLOOKUP + MATCH: </t>
    </r>
    <r>
      <rPr>
        <sz val="10"/>
        <color rgb="FF000000"/>
        <rFont val="Calibri"/>
        <family val="2"/>
        <scheme val="minor"/>
      </rPr>
      <t xml:space="preserve">Finds the row in the range $A$9:$A$18 by matching A23:A35 values with corresponding data from M9:N18. </t>
    </r>
    <r>
      <rPr>
        <b/>
        <sz val="10"/>
        <color rgb="FF000000"/>
        <rFont val="Calibri"/>
        <family val="2"/>
        <scheme val="minor"/>
      </rPr>
      <t xml:space="preserve">
2) Second VLOOKUP + MATCH: </t>
    </r>
    <r>
      <rPr>
        <sz val="10"/>
        <color rgb="FF000000"/>
        <rFont val="Calibri"/>
        <family val="2"/>
        <scheme val="minor"/>
      </rPr>
      <t>Finds the column in the range $A$9:$J$9 by matching B23:B35 values with corresponding data from M9:N18.</t>
    </r>
    <r>
      <rPr>
        <b/>
        <sz val="10"/>
        <color rgb="FF000000"/>
        <rFont val="Calibri"/>
        <family val="2"/>
        <scheme val="minor"/>
      </rPr>
      <t xml:space="preserve"> 
3) INDEX: </t>
    </r>
    <r>
      <rPr>
        <sz val="10"/>
        <color rgb="FF000000"/>
        <rFont val="Calibri"/>
        <family val="2"/>
        <scheme val="minor"/>
      </rPr>
      <t>Returns the value at the intersection of the identified row and column from the range $A$9:$J$18.</t>
    </r>
  </si>
  <si>
    <t xml:space="preserve">Explanation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</si>
</sst>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2"/>
      <color rgb="FF000000"/>
      <name val="Calibri"/>
      <family val="2"/>
      <scheme val="minor"/>
    </font>
    <font>
      <sz val="12"/>
      <color rgb="FF000000"/>
      <name val="Calibri"/>
      <family val="2"/>
      <scheme val="minor"/>
    </font>
  </fonts>
  <fills count="11">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76">
    <xf numFmtId="0" fontId="0" fillId="0" borderId="0" xfId="0"/>
    <xf numFmtId="0" fontId="3" fillId="0" borderId="0" xfId="0" applyFont="1"/>
    <xf numFmtId="0" fontId="8" fillId="0" borderId="0" xfId="0" applyFont="1"/>
    <xf numFmtId="0" fontId="7" fillId="0" borderId="0" xfId="0" applyFont="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5" fontId="3" fillId="0" borderId="0" xfId="0" applyNumberFormat="1" applyFont="1"/>
    <xf numFmtId="0" fontId="3" fillId="0" borderId="0" xfId="0" applyFont="1" applyAlignment="1">
      <alignment wrapText="1"/>
    </xf>
    <xf numFmtId="0" fontId="3" fillId="0" borderId="0" xfId="0" applyFont="1" applyAlignment="1"/>
    <xf numFmtId="0" fontId="7" fillId="6" borderId="1" xfId="0" applyFont="1" applyFill="1" applyBorder="1" applyAlignment="1"/>
    <xf numFmtId="164" fontId="3" fillId="0" borderId="1" xfId="0" applyNumberFormat="1" applyFont="1" applyBorder="1"/>
    <xf numFmtId="0" fontId="3" fillId="0" borderId="1" xfId="0" applyFont="1" applyBorder="1" applyAlignment="1">
      <alignment wrapText="1"/>
    </xf>
    <xf numFmtId="0" fontId="11" fillId="4" borderId="1" xfId="0" applyFont="1" applyFill="1" applyBorder="1"/>
    <xf numFmtId="0" fontId="6" fillId="0" borderId="1" xfId="0" applyFont="1" applyBorder="1"/>
    <xf numFmtId="0" fontId="4" fillId="0" borderId="1" xfId="0" applyFont="1" applyBorder="1" applyAlignment="1">
      <alignment horizontal="center"/>
    </xf>
    <xf numFmtId="0" fontId="14" fillId="0" borderId="1" xfId="0" applyFont="1" applyBorder="1"/>
    <xf numFmtId="0" fontId="7" fillId="7" borderId="1" xfId="0" applyFont="1" applyFill="1" applyBorder="1"/>
    <xf numFmtId="0" fontId="3" fillId="0" borderId="1" xfId="0" applyFont="1" applyBorder="1" applyAlignment="1">
      <alignment wrapText="1"/>
    </xf>
    <xf numFmtId="0" fontId="3" fillId="8" borderId="1" xfId="0" applyFont="1" applyFill="1" applyBorder="1" applyAlignment="1">
      <alignment wrapText="1"/>
    </xf>
    <xf numFmtId="0" fontId="8" fillId="0" borderId="1" xfId="0" applyFont="1" applyBorder="1" applyAlignment="1">
      <alignment wrapText="1"/>
    </xf>
    <xf numFmtId="0" fontId="9" fillId="0" borderId="1" xfId="0" applyFont="1" applyBorder="1"/>
    <xf numFmtId="0" fontId="0" fillId="0" borderId="1" xfId="0" applyBorder="1"/>
    <xf numFmtId="0" fontId="3" fillId="0" borderId="1" xfId="0" applyFont="1" applyBorder="1"/>
    <xf numFmtId="0" fontId="8" fillId="0" borderId="12" xfId="0" applyFont="1" applyBorder="1" applyAlignment="1">
      <alignment wrapText="1"/>
    </xf>
    <xf numFmtId="0" fontId="8" fillId="0" borderId="14" xfId="0" applyFont="1" applyBorder="1" applyAlignment="1">
      <alignment wrapText="1"/>
    </xf>
    <xf numFmtId="0" fontId="8" fillId="0" borderId="13" xfId="0" applyFont="1" applyBorder="1" applyAlignment="1">
      <alignment wrapText="1"/>
    </xf>
    <xf numFmtId="0" fontId="8" fillId="0" borderId="2" xfId="0" applyFont="1" applyBorder="1" applyAlignment="1">
      <alignment wrapText="1"/>
    </xf>
    <xf numFmtId="0" fontId="8" fillId="0" borderId="0" xfId="0" applyFont="1" applyBorder="1" applyAlignment="1">
      <alignment wrapText="1"/>
    </xf>
    <xf numFmtId="0" fontId="8" fillId="0" borderId="3" xfId="0" applyFont="1" applyBorder="1" applyAlignment="1">
      <alignment wrapText="1"/>
    </xf>
    <xf numFmtId="0" fontId="8" fillId="0" borderId="4" xfId="0" applyFont="1" applyBorder="1" applyAlignment="1">
      <alignment wrapText="1"/>
    </xf>
    <xf numFmtId="0" fontId="8" fillId="0" borderId="5" xfId="0" applyFont="1" applyBorder="1" applyAlignment="1">
      <alignment wrapText="1"/>
    </xf>
    <xf numFmtId="0" fontId="8" fillId="0" borderId="6" xfId="0" applyFont="1" applyBorder="1" applyAlignment="1">
      <alignment wrapText="1"/>
    </xf>
    <xf numFmtId="0" fontId="7" fillId="6" borderId="1" xfId="0" applyFont="1" applyFill="1" applyBorder="1"/>
    <xf numFmtId="0" fontId="4" fillId="0" borderId="1" xfId="0" applyFont="1" applyBorder="1"/>
    <xf numFmtId="164" fontId="4" fillId="0" borderId="1" xfId="0" applyNumberFormat="1" applyFont="1" applyBorder="1"/>
    <xf numFmtId="0" fontId="8" fillId="0" borderId="0" xfId="0" applyFont="1" applyAlignment="1">
      <alignment horizontal="left"/>
    </xf>
    <xf numFmtId="0" fontId="8" fillId="0" borderId="0" xfId="0" applyFont="1" applyAlignment="1"/>
    <xf numFmtId="0" fontId="8" fillId="0" borderId="1" xfId="0" applyFont="1" applyBorder="1" applyAlignment="1">
      <alignment horizontal="left"/>
    </xf>
    <xf numFmtId="0" fontId="8" fillId="9" borderId="1" xfId="0" applyFont="1" applyFill="1" applyBorder="1" applyAlignment="1">
      <alignment horizontal="left"/>
    </xf>
    <xf numFmtId="0" fontId="8" fillId="0" borderId="8" xfId="0" applyFont="1" applyBorder="1"/>
    <xf numFmtId="0" fontId="8" fillId="10" borderId="0" xfId="0" applyFont="1" applyFill="1" applyAlignment="1">
      <alignment horizontal="left" wrapText="1"/>
    </xf>
    <xf numFmtId="0" fontId="8" fillId="10" borderId="0" xfId="0" applyFont="1" applyFill="1" applyAlignment="1">
      <alignment horizontal="left"/>
    </xf>
    <xf numFmtId="0" fontId="18" fillId="10" borderId="0" xfId="0" applyFont="1" applyFill="1" applyAlignment="1">
      <alignment horizontal="left" wrapText="1"/>
    </xf>
    <xf numFmtId="0" fontId="3" fillId="10" borderId="0" xfId="0" applyFont="1" applyFill="1" applyAlignment="1">
      <alignment horizontal="left" wrapText="1"/>
    </xf>
    <xf numFmtId="0" fontId="3" fillId="10" borderId="0" xfId="0" applyFont="1" applyFill="1" applyAlignment="1">
      <alignment horizontal="left"/>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9"/>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30" sqref="A30"/>
    </sheetView>
  </sheetViews>
  <sheetFormatPr defaultColWidth="11" defaultRowHeight="13.8" x14ac:dyDescent="0.3"/>
  <cols>
    <col min="1" max="1" width="70.77734375" style="2" bestFit="1" customWidth="1"/>
    <col min="2" max="16384" width="11" style="2"/>
  </cols>
  <sheetData>
    <row r="1" spans="1:3" ht="18" x14ac:dyDescent="0.35">
      <c r="A1" s="31" t="s">
        <v>109</v>
      </c>
    </row>
    <row r="2" spans="1:3" x14ac:dyDescent="0.3">
      <c r="A2" s="2" t="s">
        <v>110</v>
      </c>
    </row>
    <row r="3" spans="1:3" x14ac:dyDescent="0.3">
      <c r="A3" s="2" t="s">
        <v>111</v>
      </c>
    </row>
    <row r="4" spans="1:3" ht="14.4" x14ac:dyDescent="0.3">
      <c r="A4" s="2" t="s">
        <v>176</v>
      </c>
      <c r="C4" s="1"/>
    </row>
    <row r="5" spans="1:3" x14ac:dyDescent="0.3">
      <c r="A5" s="2" t="s">
        <v>151</v>
      </c>
    </row>
    <row r="8" spans="1:3" x14ac:dyDescent="0.3">
      <c r="A8" s="2" t="s">
        <v>172</v>
      </c>
    </row>
    <row r="9" spans="1:3" x14ac:dyDescent="0.3">
      <c r="A9" s="28" t="s">
        <v>170</v>
      </c>
      <c r="B9" s="23" t="s">
        <v>168</v>
      </c>
    </row>
    <row r="10" spans="1:3" x14ac:dyDescent="0.3">
      <c r="A10" s="27" t="s">
        <v>171</v>
      </c>
      <c r="B10" s="29">
        <v>25</v>
      </c>
    </row>
    <row r="11" spans="1:3" x14ac:dyDescent="0.3">
      <c r="A11" s="27" t="s">
        <v>55</v>
      </c>
      <c r="B11" s="29">
        <v>30</v>
      </c>
    </row>
    <row r="12" spans="1:3" x14ac:dyDescent="0.3">
      <c r="A12" s="27" t="s">
        <v>56</v>
      </c>
      <c r="B12" s="29">
        <v>10</v>
      </c>
    </row>
    <row r="13" spans="1:3" x14ac:dyDescent="0.3">
      <c r="A13" s="27" t="s">
        <v>85</v>
      </c>
      <c r="B13" s="29">
        <v>20</v>
      </c>
    </row>
    <row r="14" spans="1:3" x14ac:dyDescent="0.3">
      <c r="A14" s="27" t="s">
        <v>98</v>
      </c>
      <c r="B14" s="29">
        <v>40</v>
      </c>
    </row>
    <row r="15" spans="1:3" x14ac:dyDescent="0.3">
      <c r="A15" s="30" t="s">
        <v>169</v>
      </c>
      <c r="B15" s="22">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L1" zoomScaleNormal="100" workbookViewId="0">
      <pane ySplit="1" topLeftCell="A15" activePane="bottomLeft" state="frozen"/>
      <selection pane="bottomLeft" activeCell="T34" sqref="T34"/>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1" customWidth="1"/>
    <col min="5" max="5" width="9.21875" style="1" bestFit="1" customWidth="1"/>
    <col min="6" max="6" width="10.44140625" style="21" bestFit="1" customWidth="1"/>
    <col min="7" max="7" width="12.77734375" style="1" bestFit="1" customWidth="1"/>
    <col min="8" max="8" width="16.44140625" style="1" bestFit="1" customWidth="1"/>
    <col min="9"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37" bestFit="1" customWidth="1"/>
    <col min="25" max="16384" width="9" style="1"/>
  </cols>
  <sheetData>
    <row r="1" spans="1:24" s="16" customFormat="1" ht="14.7" customHeight="1" x14ac:dyDescent="0.3">
      <c r="A1" s="64" t="s">
        <v>64</v>
      </c>
      <c r="B1" s="64" t="s">
        <v>43</v>
      </c>
      <c r="C1" s="64" t="s">
        <v>0</v>
      </c>
      <c r="D1" s="65" t="s">
        <v>1</v>
      </c>
      <c r="E1" s="64" t="s">
        <v>2</v>
      </c>
      <c r="F1" s="65" t="s">
        <v>3</v>
      </c>
      <c r="G1" s="18" t="s">
        <v>79</v>
      </c>
      <c r="H1" s="18" t="s">
        <v>65</v>
      </c>
      <c r="I1" s="18" t="s">
        <v>66</v>
      </c>
      <c r="J1" s="19" t="s">
        <v>67</v>
      </c>
      <c r="K1" s="19" t="s">
        <v>68</v>
      </c>
      <c r="L1" s="19" t="s">
        <v>69</v>
      </c>
      <c r="M1" s="18" t="s">
        <v>70</v>
      </c>
      <c r="N1" s="18" t="s">
        <v>71</v>
      </c>
      <c r="O1" s="18" t="s">
        <v>72</v>
      </c>
      <c r="P1" s="19" t="s">
        <v>73</v>
      </c>
      <c r="Q1" s="19" t="s">
        <v>74</v>
      </c>
      <c r="R1" s="19" t="s">
        <v>75</v>
      </c>
      <c r="S1" s="18" t="s">
        <v>80</v>
      </c>
      <c r="T1" s="18" t="s">
        <v>76</v>
      </c>
      <c r="U1" s="19" t="s">
        <v>81</v>
      </c>
      <c r="V1" s="19" t="s">
        <v>77</v>
      </c>
      <c r="W1" s="19" t="s">
        <v>78</v>
      </c>
      <c r="X1" s="19" t="s">
        <v>106</v>
      </c>
    </row>
    <row r="2" spans="1:24" x14ac:dyDescent="0.3">
      <c r="A2" s="1" t="s">
        <v>40</v>
      </c>
      <c r="B2" s="1">
        <v>20000</v>
      </c>
      <c r="C2" s="1" t="s">
        <v>5</v>
      </c>
      <c r="D2" s="21">
        <v>0</v>
      </c>
      <c r="E2" s="1" t="s">
        <v>6</v>
      </c>
      <c r="F2" s="21">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37">
        <v>45051</v>
      </c>
    </row>
    <row r="3" spans="1:24" x14ac:dyDescent="0.3">
      <c r="A3" s="1" t="s">
        <v>4</v>
      </c>
      <c r="B3" s="1">
        <v>20002</v>
      </c>
      <c r="C3" s="1" t="s">
        <v>5</v>
      </c>
      <c r="D3" s="21">
        <v>0</v>
      </c>
      <c r="E3" s="1" t="s">
        <v>6</v>
      </c>
      <c r="F3" s="21">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37">
        <v>45048</v>
      </c>
    </row>
    <row r="4" spans="1:24" x14ac:dyDescent="0.3">
      <c r="A4" s="1" t="s">
        <v>7</v>
      </c>
      <c r="B4" s="1">
        <v>20004</v>
      </c>
      <c r="C4" s="1" t="s">
        <v>5</v>
      </c>
      <c r="D4" s="21">
        <v>0</v>
      </c>
      <c r="E4" s="1" t="s">
        <v>6</v>
      </c>
      <c r="F4" s="21">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37">
        <v>45055</v>
      </c>
    </row>
    <row r="5" spans="1:24" x14ac:dyDescent="0.3">
      <c r="A5" s="1" t="s">
        <v>8</v>
      </c>
      <c r="B5" s="1">
        <v>20006</v>
      </c>
      <c r="C5" s="1" t="s">
        <v>5</v>
      </c>
      <c r="D5" s="21">
        <v>0</v>
      </c>
      <c r="E5" s="1" t="s">
        <v>6</v>
      </c>
      <c r="F5" s="21">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37">
        <v>45059</v>
      </c>
    </row>
    <row r="6" spans="1:24" x14ac:dyDescent="0.3">
      <c r="A6" s="1" t="s">
        <v>9</v>
      </c>
      <c r="B6" s="1">
        <v>20008</v>
      </c>
      <c r="C6" s="1" t="s">
        <v>5</v>
      </c>
      <c r="D6" s="21">
        <v>0</v>
      </c>
      <c r="E6" s="1" t="s">
        <v>6</v>
      </c>
      <c r="F6" s="21">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37">
        <v>45076</v>
      </c>
    </row>
    <row r="7" spans="1:24" x14ac:dyDescent="0.3">
      <c r="A7" s="1" t="s">
        <v>10</v>
      </c>
      <c r="B7" s="1">
        <v>20010</v>
      </c>
      <c r="C7" s="1" t="s">
        <v>5</v>
      </c>
      <c r="D7" s="21">
        <v>0</v>
      </c>
      <c r="E7" s="1" t="s">
        <v>6</v>
      </c>
      <c r="F7" s="21">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37">
        <v>45057</v>
      </c>
    </row>
    <row r="8" spans="1:24" x14ac:dyDescent="0.3">
      <c r="A8" s="1" t="s">
        <v>11</v>
      </c>
      <c r="B8" s="1">
        <v>20012</v>
      </c>
      <c r="C8" s="1" t="s">
        <v>5</v>
      </c>
      <c r="D8" s="21">
        <v>0</v>
      </c>
      <c r="E8" s="1" t="s">
        <v>6</v>
      </c>
      <c r="F8" s="21">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37">
        <v>45052</v>
      </c>
    </row>
    <row r="9" spans="1:24" x14ac:dyDescent="0.3">
      <c r="A9" s="1" t="s">
        <v>12</v>
      </c>
      <c r="B9" s="1">
        <v>20014</v>
      </c>
      <c r="C9" s="1" t="s">
        <v>5</v>
      </c>
      <c r="D9" s="21">
        <v>0</v>
      </c>
      <c r="E9" s="1" t="s">
        <v>6</v>
      </c>
      <c r="F9" s="21">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37">
        <v>45098</v>
      </c>
    </row>
    <row r="10" spans="1:24" x14ac:dyDescent="0.3">
      <c r="A10" s="1" t="s">
        <v>13</v>
      </c>
      <c r="B10" s="1">
        <v>20016</v>
      </c>
      <c r="C10" s="1" t="s">
        <v>5</v>
      </c>
      <c r="D10" s="21">
        <v>0</v>
      </c>
      <c r="E10" s="1" t="s">
        <v>6</v>
      </c>
      <c r="F10" s="21">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37">
        <v>45092</v>
      </c>
    </row>
    <row r="11" spans="1:24" x14ac:dyDescent="0.3">
      <c r="A11" s="1" t="s">
        <v>14</v>
      </c>
      <c r="B11" s="1">
        <v>20018</v>
      </c>
      <c r="C11" s="1" t="s">
        <v>5</v>
      </c>
      <c r="D11" s="21">
        <v>0</v>
      </c>
      <c r="E11" s="1" t="s">
        <v>6</v>
      </c>
      <c r="F11" s="21">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37">
        <v>45104</v>
      </c>
    </row>
    <row r="12" spans="1:24" x14ac:dyDescent="0.3">
      <c r="A12" s="1" t="s">
        <v>15</v>
      </c>
      <c r="B12" s="1">
        <v>20020</v>
      </c>
      <c r="C12" s="1" t="s">
        <v>5</v>
      </c>
      <c r="D12" s="21">
        <v>0</v>
      </c>
      <c r="E12" s="1" t="s">
        <v>6</v>
      </c>
      <c r="F12" s="21">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37">
        <v>45116</v>
      </c>
    </row>
    <row r="13" spans="1:24" x14ac:dyDescent="0.3">
      <c r="A13" s="1" t="s">
        <v>16</v>
      </c>
      <c r="B13" s="1">
        <v>20022</v>
      </c>
      <c r="C13" s="1" t="s">
        <v>5</v>
      </c>
      <c r="D13" s="21">
        <v>0</v>
      </c>
      <c r="E13" s="1" t="s">
        <v>6</v>
      </c>
      <c r="F13" s="21">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37">
        <v>45110</v>
      </c>
    </row>
    <row r="14" spans="1:24" x14ac:dyDescent="0.3">
      <c r="A14" s="1" t="s">
        <v>17</v>
      </c>
      <c r="B14" s="1">
        <v>20024</v>
      </c>
      <c r="C14" s="1" t="s">
        <v>5</v>
      </c>
      <c r="D14" s="21">
        <v>0</v>
      </c>
      <c r="E14" s="1" t="s">
        <v>6</v>
      </c>
      <c r="F14" s="21">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37">
        <v>45095</v>
      </c>
    </row>
    <row r="15" spans="1:24" x14ac:dyDescent="0.3">
      <c r="A15" s="1" t="s">
        <v>18</v>
      </c>
      <c r="B15" s="1">
        <v>20026</v>
      </c>
      <c r="C15" s="1" t="s">
        <v>5</v>
      </c>
      <c r="D15" s="21">
        <v>0</v>
      </c>
      <c r="E15" s="1" t="s">
        <v>6</v>
      </c>
      <c r="F15" s="21">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37">
        <v>45113</v>
      </c>
    </row>
    <row r="16" spans="1:24" x14ac:dyDescent="0.3">
      <c r="A16" s="1" t="s">
        <v>19</v>
      </c>
      <c r="B16" s="1">
        <v>20028</v>
      </c>
      <c r="C16" s="1" t="s">
        <v>5</v>
      </c>
      <c r="D16" s="21">
        <v>0</v>
      </c>
      <c r="E16" s="1" t="s">
        <v>6</v>
      </c>
      <c r="F16" s="21">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37">
        <v>45063</v>
      </c>
    </row>
    <row r="17" spans="1:24" x14ac:dyDescent="0.3">
      <c r="A17" s="1" t="s">
        <v>20</v>
      </c>
      <c r="B17" s="1">
        <v>20030</v>
      </c>
      <c r="C17" s="1" t="s">
        <v>5</v>
      </c>
      <c r="D17" s="21">
        <v>0</v>
      </c>
      <c r="E17" s="1" t="s">
        <v>6</v>
      </c>
      <c r="F17" s="21">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37">
        <v>45071</v>
      </c>
    </row>
    <row r="18" spans="1:24" x14ac:dyDescent="0.3">
      <c r="A18" s="1" t="s">
        <v>21</v>
      </c>
      <c r="B18" s="1">
        <v>20032</v>
      </c>
      <c r="C18" s="1" t="s">
        <v>5</v>
      </c>
      <c r="D18" s="21">
        <v>0</v>
      </c>
      <c r="E18" s="1" t="s">
        <v>6</v>
      </c>
      <c r="F18" s="21">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37">
        <v>45085</v>
      </c>
    </row>
    <row r="19" spans="1:24" x14ac:dyDescent="0.3">
      <c r="A19" s="1" t="s">
        <v>22</v>
      </c>
      <c r="B19" s="1">
        <v>20034</v>
      </c>
      <c r="C19" s="1" t="s">
        <v>5</v>
      </c>
      <c r="D19" s="21">
        <v>0</v>
      </c>
      <c r="E19" s="1" t="s">
        <v>6</v>
      </c>
      <c r="F19" s="21">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37">
        <v>45099</v>
      </c>
    </row>
    <row r="20" spans="1:24" x14ac:dyDescent="0.3">
      <c r="A20" s="1" t="s">
        <v>23</v>
      </c>
      <c r="B20" s="1">
        <v>20036</v>
      </c>
      <c r="C20" s="1" t="s">
        <v>5</v>
      </c>
      <c r="D20" s="21">
        <v>0</v>
      </c>
      <c r="E20" s="1" t="s">
        <v>6</v>
      </c>
      <c r="F20" s="21">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37">
        <v>45091</v>
      </c>
    </row>
    <row r="21" spans="1:24" x14ac:dyDescent="0.3">
      <c r="A21" s="1" t="s">
        <v>24</v>
      </c>
      <c r="B21" s="1">
        <v>20038</v>
      </c>
      <c r="C21" s="1" t="s">
        <v>5</v>
      </c>
      <c r="D21" s="21">
        <v>0</v>
      </c>
      <c r="E21" s="1" t="s">
        <v>6</v>
      </c>
      <c r="F21" s="21">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37">
        <v>45079</v>
      </c>
    </row>
    <row r="22" spans="1:24" x14ac:dyDescent="0.3">
      <c r="A22" s="1" t="s">
        <v>25</v>
      </c>
      <c r="B22" s="1">
        <v>20040</v>
      </c>
      <c r="C22" s="1" t="s">
        <v>5</v>
      </c>
      <c r="D22" s="21">
        <v>0</v>
      </c>
      <c r="E22" s="1" t="s">
        <v>6</v>
      </c>
      <c r="F22" s="21">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37">
        <v>45075</v>
      </c>
    </row>
    <row r="23" spans="1:24" x14ac:dyDescent="0.3">
      <c r="A23" s="1" t="s">
        <v>41</v>
      </c>
      <c r="B23" s="1">
        <v>20042</v>
      </c>
      <c r="C23" s="1" t="s">
        <v>5</v>
      </c>
      <c r="D23" s="21">
        <v>0</v>
      </c>
      <c r="E23" s="1" t="s">
        <v>6</v>
      </c>
      <c r="F23" s="21">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37">
        <v>45110</v>
      </c>
    </row>
    <row r="24" spans="1:24" x14ac:dyDescent="0.3">
      <c r="A24" s="1" t="s">
        <v>26</v>
      </c>
      <c r="B24" s="1">
        <v>20044</v>
      </c>
      <c r="C24" s="1" t="s">
        <v>5</v>
      </c>
      <c r="D24" s="21">
        <v>0</v>
      </c>
      <c r="E24" s="1" t="s">
        <v>6</v>
      </c>
      <c r="F24" s="21">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37">
        <v>45114</v>
      </c>
    </row>
    <row r="25" spans="1:24" x14ac:dyDescent="0.3">
      <c r="A25" s="1" t="s">
        <v>27</v>
      </c>
      <c r="B25" s="1">
        <v>20046</v>
      </c>
      <c r="C25" s="1" t="s">
        <v>5</v>
      </c>
      <c r="D25" s="21">
        <v>0</v>
      </c>
      <c r="E25" s="1" t="s">
        <v>6</v>
      </c>
      <c r="F25" s="21">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37">
        <v>45118</v>
      </c>
    </row>
    <row r="26" spans="1:24" x14ac:dyDescent="0.3">
      <c r="A26" s="1" t="s">
        <v>28</v>
      </c>
      <c r="B26" s="1">
        <v>20048</v>
      </c>
      <c r="C26" s="1" t="s">
        <v>5</v>
      </c>
      <c r="D26" s="21">
        <v>0</v>
      </c>
      <c r="E26" s="1" t="s">
        <v>6</v>
      </c>
      <c r="F26" s="21">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37">
        <v>45142</v>
      </c>
    </row>
    <row r="27" spans="1:24" x14ac:dyDescent="0.3">
      <c r="A27" s="1" t="s">
        <v>57</v>
      </c>
      <c r="B27" s="1">
        <v>20050</v>
      </c>
      <c r="C27" s="1" t="s">
        <v>5</v>
      </c>
      <c r="D27" s="21">
        <v>0</v>
      </c>
      <c r="E27" s="1" t="s">
        <v>6</v>
      </c>
      <c r="F27" s="21">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37">
        <v>45146</v>
      </c>
    </row>
    <row r="28" spans="1:24" x14ac:dyDescent="0.3">
      <c r="A28" s="1" t="s">
        <v>29</v>
      </c>
      <c r="B28" s="1">
        <v>20052</v>
      </c>
      <c r="C28" s="1" t="s">
        <v>5</v>
      </c>
      <c r="D28" s="21">
        <v>0</v>
      </c>
      <c r="E28" s="1" t="s">
        <v>6</v>
      </c>
      <c r="F28" s="21">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37">
        <v>45108</v>
      </c>
    </row>
    <row r="29" spans="1:24" x14ac:dyDescent="0.3">
      <c r="A29" s="1" t="s">
        <v>30</v>
      </c>
      <c r="B29" s="1">
        <v>20054</v>
      </c>
      <c r="C29" s="1" t="s">
        <v>5</v>
      </c>
      <c r="D29" s="21">
        <v>0</v>
      </c>
      <c r="E29" s="1" t="s">
        <v>6</v>
      </c>
      <c r="F29" s="21">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37">
        <v>45153</v>
      </c>
    </row>
    <row r="30" spans="1:24" x14ac:dyDescent="0.3">
      <c r="A30" s="1" t="s">
        <v>58</v>
      </c>
      <c r="B30" s="1">
        <v>20058</v>
      </c>
      <c r="C30" s="1" t="s">
        <v>5</v>
      </c>
      <c r="D30" s="21">
        <v>0</v>
      </c>
      <c r="E30" s="1" t="s">
        <v>6</v>
      </c>
      <c r="F30" s="21">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37">
        <v>45150</v>
      </c>
    </row>
    <row r="31" spans="1:24" x14ac:dyDescent="0.3">
      <c r="A31" s="1" t="s">
        <v>31</v>
      </c>
      <c r="B31" s="1">
        <v>20060</v>
      </c>
      <c r="C31" s="1" t="s">
        <v>5</v>
      </c>
      <c r="D31" s="21">
        <v>0</v>
      </c>
      <c r="E31" s="1" t="s">
        <v>6</v>
      </c>
      <c r="F31" s="21">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37">
        <v>45157</v>
      </c>
    </row>
    <row r="32" spans="1:24" x14ac:dyDescent="0.3">
      <c r="A32" s="1" t="s">
        <v>32</v>
      </c>
      <c r="B32" s="1">
        <v>21000</v>
      </c>
      <c r="C32" s="1" t="s">
        <v>5</v>
      </c>
      <c r="D32" s="21">
        <v>0</v>
      </c>
      <c r="E32" s="1" t="s">
        <v>6</v>
      </c>
      <c r="F32" s="21">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37">
        <v>45143</v>
      </c>
    </row>
    <row r="33" spans="1:24" x14ac:dyDescent="0.3">
      <c r="A33" s="1" t="s">
        <v>33</v>
      </c>
      <c r="B33" s="1">
        <v>21002</v>
      </c>
      <c r="C33" s="1" t="s">
        <v>5</v>
      </c>
      <c r="D33" s="21">
        <v>0</v>
      </c>
      <c r="E33" s="1" t="s">
        <v>6</v>
      </c>
      <c r="F33" s="21">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37">
        <v>45166</v>
      </c>
    </row>
    <row r="34" spans="1:24" x14ac:dyDescent="0.3">
      <c r="A34" s="1" t="s">
        <v>34</v>
      </c>
      <c r="B34" s="1">
        <v>21004</v>
      </c>
      <c r="C34" s="1" t="s">
        <v>5</v>
      </c>
      <c r="D34" s="21">
        <v>0</v>
      </c>
      <c r="E34" s="1" t="s">
        <v>6</v>
      </c>
      <c r="F34" s="21">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37">
        <v>45162</v>
      </c>
    </row>
    <row r="35" spans="1:24" x14ac:dyDescent="0.3">
      <c r="A35" s="1" t="s">
        <v>35</v>
      </c>
      <c r="B35" s="1">
        <v>21006</v>
      </c>
      <c r="C35" s="1" t="s">
        <v>5</v>
      </c>
      <c r="D35" s="21">
        <v>0</v>
      </c>
      <c r="E35" s="1" t="s">
        <v>6</v>
      </c>
      <c r="F35" s="21">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37">
        <v>45160</v>
      </c>
    </row>
    <row r="36" spans="1:24" x14ac:dyDescent="0.3">
      <c r="A36" s="1" t="s">
        <v>36</v>
      </c>
      <c r="B36" s="1">
        <v>21008</v>
      </c>
      <c r="C36" s="1" t="s">
        <v>5</v>
      </c>
      <c r="D36" s="21">
        <v>0</v>
      </c>
      <c r="E36" s="1" t="s">
        <v>6</v>
      </c>
      <c r="F36" s="21">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37">
        <v>45179</v>
      </c>
    </row>
    <row r="37" spans="1:24" x14ac:dyDescent="0.3">
      <c r="A37" s="1" t="s">
        <v>42</v>
      </c>
      <c r="B37" s="1">
        <v>21010</v>
      </c>
      <c r="C37" s="1" t="s">
        <v>5</v>
      </c>
      <c r="D37" s="21">
        <v>0</v>
      </c>
      <c r="E37" s="1" t="s">
        <v>6</v>
      </c>
      <c r="F37" s="21">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37">
        <v>45157</v>
      </c>
    </row>
    <row r="38" spans="1:24" x14ac:dyDescent="0.3">
      <c r="A38" s="1" t="s">
        <v>37</v>
      </c>
      <c r="B38" s="1">
        <v>21012</v>
      </c>
      <c r="C38" s="1" t="s">
        <v>5</v>
      </c>
      <c r="D38" s="21">
        <v>0</v>
      </c>
      <c r="E38" s="1" t="s">
        <v>6</v>
      </c>
      <c r="F38" s="21">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37">
        <v>45143</v>
      </c>
    </row>
    <row r="39" spans="1:24" x14ac:dyDescent="0.3">
      <c r="A39" s="1" t="s">
        <v>38</v>
      </c>
      <c r="B39" s="1">
        <v>21014</v>
      </c>
      <c r="C39" s="1" t="s">
        <v>5</v>
      </c>
      <c r="D39" s="21">
        <v>0</v>
      </c>
      <c r="E39" s="1" t="s">
        <v>6</v>
      </c>
      <c r="F39" s="21">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37">
        <v>45166</v>
      </c>
    </row>
    <row r="40" spans="1:24" x14ac:dyDescent="0.3">
      <c r="A40" s="1" t="s">
        <v>39</v>
      </c>
      <c r="B40" s="1">
        <v>21016</v>
      </c>
      <c r="C40" s="1" t="s">
        <v>5</v>
      </c>
      <c r="D40" s="21">
        <v>0</v>
      </c>
      <c r="E40" s="1" t="s">
        <v>6</v>
      </c>
      <c r="F40" s="21">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37">
        <v>45162</v>
      </c>
    </row>
    <row r="41" spans="1:24" x14ac:dyDescent="0.3">
      <c r="H41" s="3" t="s">
        <v>177</v>
      </c>
    </row>
    <row r="42" spans="1:24" x14ac:dyDescent="0.3">
      <c r="H42" s="14">
        <f>SUMIF(H2:H40, "&gt; 20")</f>
        <v>1473.0000000000002</v>
      </c>
    </row>
  </sheetData>
  <conditionalFormatting sqref="A1:A1048576">
    <cfRule type="duplicateValues" dxfId="9" priority="4"/>
  </conditionalFormatting>
  <conditionalFormatting sqref="B1:B1048576">
    <cfRule type="duplicateValues" dxfId="8" priority="3"/>
  </conditionalFormatting>
  <conditionalFormatting sqref="G1:X40">
    <cfRule type="cellIs" dxfId="7" priority="1" operator="equal">
      <formula>0</formula>
    </cfRule>
    <cfRule type="cellIs" dxfId="6"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G34"/>
  <sheetViews>
    <sheetView zoomScaleNormal="100" workbookViewId="0">
      <selection activeCell="A8" sqref="A8:E8"/>
    </sheetView>
  </sheetViews>
  <sheetFormatPr defaultColWidth="11" defaultRowHeight="14.4" x14ac:dyDescent="0.3"/>
  <cols>
    <col min="1" max="1" width="8.44140625" style="14" bestFit="1" customWidth="1"/>
    <col min="2" max="2" width="65.77734375" style="14" bestFit="1" customWidth="1"/>
    <col min="3" max="3" width="27.5546875" style="14" bestFit="1" customWidth="1"/>
    <col min="4" max="4" width="11" style="14"/>
    <col min="5" max="5" width="14.44140625" style="14" bestFit="1" customWidth="1"/>
    <col min="6" max="16384" width="11" style="14"/>
  </cols>
  <sheetData>
    <row r="1" spans="1:7" x14ac:dyDescent="0.3">
      <c r="A1" s="43" t="s">
        <v>47</v>
      </c>
      <c r="B1" s="43" t="s">
        <v>48</v>
      </c>
      <c r="C1" s="43" t="s">
        <v>44</v>
      </c>
      <c r="E1" s="43" t="s">
        <v>175</v>
      </c>
    </row>
    <row r="2" spans="1:7" x14ac:dyDescent="0.3">
      <c r="A2" s="22"/>
      <c r="B2" s="44" t="s">
        <v>159</v>
      </c>
      <c r="C2" s="22"/>
    </row>
    <row r="3" spans="1:7" x14ac:dyDescent="0.3">
      <c r="A3" s="45">
        <v>1</v>
      </c>
      <c r="B3" s="22" t="s">
        <v>108</v>
      </c>
      <c r="C3" s="22" t="s">
        <v>45</v>
      </c>
      <c r="E3" s="14">
        <v>5</v>
      </c>
    </row>
    <row r="4" spans="1:7" x14ac:dyDescent="0.3">
      <c r="A4" s="45">
        <v>2</v>
      </c>
      <c r="B4" s="22" t="s">
        <v>46</v>
      </c>
      <c r="C4" s="22"/>
      <c r="E4" s="14">
        <v>5</v>
      </c>
    </row>
    <row r="5" spans="1:7" x14ac:dyDescent="0.3">
      <c r="A5" s="45">
        <v>3</v>
      </c>
      <c r="B5" s="22" t="s">
        <v>104</v>
      </c>
      <c r="C5" s="46" t="s">
        <v>105</v>
      </c>
      <c r="E5" s="14">
        <v>10</v>
      </c>
    </row>
    <row r="6" spans="1:7" x14ac:dyDescent="0.3">
      <c r="A6" s="45">
        <v>4</v>
      </c>
      <c r="B6" s="22" t="s">
        <v>107</v>
      </c>
      <c r="C6" s="22"/>
      <c r="E6" s="14">
        <v>5</v>
      </c>
    </row>
    <row r="7" spans="1:7" x14ac:dyDescent="0.3">
      <c r="A7" s="22"/>
      <c r="B7" s="22"/>
      <c r="C7" s="22"/>
    </row>
    <row r="8" spans="1:7" x14ac:dyDescent="0.3">
      <c r="A8" s="47" t="s">
        <v>198</v>
      </c>
      <c r="B8" s="47"/>
      <c r="C8" s="47"/>
      <c r="D8" s="47"/>
      <c r="E8" s="47"/>
      <c r="F8" s="41"/>
    </row>
    <row r="9" spans="1:7" x14ac:dyDescent="0.3">
      <c r="A9" s="47" t="s">
        <v>181</v>
      </c>
      <c r="B9" s="47"/>
      <c r="C9" s="47"/>
      <c r="D9" s="47"/>
      <c r="E9" s="47"/>
      <c r="F9" s="40"/>
      <c r="G9" s="40"/>
    </row>
    <row r="10" spans="1:7" ht="14.4" customHeight="1" x14ac:dyDescent="0.3">
      <c r="A10" s="48" t="s">
        <v>178</v>
      </c>
      <c r="B10" s="48"/>
      <c r="C10" s="48"/>
      <c r="D10" s="48"/>
      <c r="E10" s="48"/>
      <c r="F10" s="42"/>
    </row>
    <row r="11" spans="1:7" x14ac:dyDescent="0.3">
      <c r="A11" s="48"/>
      <c r="B11" s="48"/>
      <c r="C11" s="48"/>
      <c r="D11" s="48"/>
      <c r="E11" s="48"/>
      <c r="F11" s="42"/>
    </row>
    <row r="12" spans="1:7" x14ac:dyDescent="0.3">
      <c r="A12" s="48"/>
      <c r="B12" s="48"/>
      <c r="C12" s="48"/>
      <c r="D12" s="48"/>
      <c r="E12" s="48"/>
      <c r="F12" s="42"/>
    </row>
    <row r="13" spans="1:7" x14ac:dyDescent="0.3">
      <c r="A13" s="48"/>
      <c r="B13" s="48"/>
      <c r="C13" s="48"/>
      <c r="D13" s="48"/>
      <c r="E13" s="48"/>
      <c r="F13" s="42"/>
    </row>
    <row r="14" spans="1:7" x14ac:dyDescent="0.3">
      <c r="A14" s="48"/>
      <c r="B14" s="48"/>
      <c r="C14" s="48"/>
      <c r="D14" s="48"/>
      <c r="E14" s="48"/>
      <c r="F14" s="42"/>
    </row>
    <row r="15" spans="1:7" x14ac:dyDescent="0.3">
      <c r="A15" s="48"/>
      <c r="B15" s="48"/>
      <c r="C15" s="48"/>
      <c r="D15" s="48"/>
      <c r="E15" s="48"/>
      <c r="F15" s="42"/>
    </row>
    <row r="16" spans="1:7" x14ac:dyDescent="0.3">
      <c r="A16" s="48"/>
      <c r="B16" s="48"/>
      <c r="C16" s="48"/>
      <c r="D16" s="48"/>
      <c r="E16" s="48"/>
      <c r="F16" s="41"/>
    </row>
    <row r="17" spans="1:7" x14ac:dyDescent="0.3">
      <c r="A17" s="49"/>
      <c r="B17" s="49"/>
      <c r="C17" s="49"/>
      <c r="D17" s="49"/>
      <c r="E17" s="49"/>
      <c r="F17" s="41"/>
    </row>
    <row r="18" spans="1:7" x14ac:dyDescent="0.3">
      <c r="A18" s="47" t="s">
        <v>182</v>
      </c>
      <c r="B18" s="47"/>
      <c r="C18" s="47"/>
      <c r="D18" s="47"/>
      <c r="E18" s="47"/>
      <c r="F18" s="41"/>
    </row>
    <row r="19" spans="1:7" x14ac:dyDescent="0.3">
      <c r="A19" s="50" t="s">
        <v>179</v>
      </c>
      <c r="B19" s="51"/>
      <c r="C19" s="51"/>
      <c r="D19" s="51"/>
      <c r="E19" s="51"/>
      <c r="F19" s="41"/>
    </row>
    <row r="20" spans="1:7" x14ac:dyDescent="0.3">
      <c r="A20" s="51"/>
      <c r="B20" s="51"/>
      <c r="C20" s="51"/>
      <c r="D20" s="51"/>
      <c r="E20" s="51"/>
      <c r="F20" s="41"/>
    </row>
    <row r="21" spans="1:7" x14ac:dyDescent="0.3">
      <c r="A21" s="51"/>
      <c r="B21" s="51"/>
      <c r="C21" s="51"/>
      <c r="D21" s="51"/>
      <c r="E21" s="51"/>
      <c r="F21" s="41"/>
    </row>
    <row r="22" spans="1:7" x14ac:dyDescent="0.3">
      <c r="A22" s="49"/>
      <c r="B22" s="49"/>
      <c r="C22" s="49"/>
      <c r="D22" s="49"/>
      <c r="E22" s="49"/>
      <c r="F22" s="52"/>
      <c r="G22" s="52"/>
    </row>
    <row r="23" spans="1:7" x14ac:dyDescent="0.3">
      <c r="A23" s="47" t="s">
        <v>183</v>
      </c>
      <c r="B23" s="47"/>
      <c r="C23" s="47"/>
      <c r="D23" s="47"/>
      <c r="E23" s="47"/>
      <c r="F23" s="41"/>
    </row>
    <row r="24" spans="1:7" x14ac:dyDescent="0.3">
      <c r="A24" s="54" t="s">
        <v>180</v>
      </c>
      <c r="B24" s="55"/>
      <c r="C24" s="55"/>
      <c r="D24" s="55"/>
      <c r="E24" s="56"/>
      <c r="F24" s="23"/>
    </row>
    <row r="25" spans="1:7" x14ac:dyDescent="0.3">
      <c r="A25" s="57"/>
      <c r="B25" s="58"/>
      <c r="C25" s="58"/>
      <c r="D25" s="58"/>
      <c r="E25" s="59"/>
      <c r="F25" s="23"/>
    </row>
    <row r="26" spans="1:7" x14ac:dyDescent="0.3">
      <c r="A26" s="57"/>
      <c r="B26" s="58"/>
      <c r="C26" s="58"/>
      <c r="D26" s="58"/>
      <c r="E26" s="59"/>
      <c r="F26" s="23"/>
    </row>
    <row r="27" spans="1:7" x14ac:dyDescent="0.3">
      <c r="A27" s="60"/>
      <c r="B27" s="61"/>
      <c r="C27" s="61"/>
      <c r="D27" s="61"/>
      <c r="E27" s="62"/>
      <c r="F27" s="23"/>
    </row>
    <row r="28" spans="1:7" x14ac:dyDescent="0.3">
      <c r="A28" s="49"/>
      <c r="B28" s="49"/>
      <c r="C28" s="49"/>
      <c r="D28" s="49"/>
      <c r="E28" s="49"/>
      <c r="F28" s="41"/>
    </row>
    <row r="29" spans="1:7" x14ac:dyDescent="0.3">
      <c r="A29" s="47" t="s">
        <v>184</v>
      </c>
      <c r="B29" s="47"/>
      <c r="C29" s="47"/>
      <c r="D29" s="47"/>
      <c r="E29" s="47"/>
      <c r="F29" s="63"/>
    </row>
    <row r="30" spans="1:7" x14ac:dyDescent="0.3">
      <c r="A30" s="48" t="s">
        <v>186</v>
      </c>
      <c r="B30" s="53"/>
      <c r="C30" s="53"/>
      <c r="D30" s="53"/>
      <c r="E30" s="53"/>
      <c r="F30" s="41"/>
    </row>
    <row r="31" spans="1:7" x14ac:dyDescent="0.3">
      <c r="A31" s="53"/>
      <c r="B31" s="53"/>
      <c r="C31" s="53"/>
      <c r="D31" s="53"/>
      <c r="E31" s="53"/>
      <c r="F31" s="41"/>
    </row>
    <row r="32" spans="1:7" x14ac:dyDescent="0.3">
      <c r="A32" s="53"/>
      <c r="B32" s="53"/>
      <c r="C32" s="53"/>
      <c r="D32" s="53"/>
      <c r="E32" s="53"/>
      <c r="F32" s="41"/>
    </row>
    <row r="33" spans="1:6" x14ac:dyDescent="0.3">
      <c r="A33" s="53"/>
      <c r="B33" s="53"/>
      <c r="C33" s="53"/>
      <c r="D33" s="53"/>
      <c r="E33" s="53"/>
      <c r="F33" s="41"/>
    </row>
    <row r="34" spans="1:6" x14ac:dyDescent="0.3">
      <c r="B34" s="14" t="s">
        <v>185</v>
      </c>
    </row>
  </sheetData>
  <mergeCells count="12">
    <mergeCell ref="A30:E33"/>
    <mergeCell ref="A8:E8"/>
    <mergeCell ref="A10:E16"/>
    <mergeCell ref="A18:E18"/>
    <mergeCell ref="A17:E17"/>
    <mergeCell ref="A9:E9"/>
    <mergeCell ref="A29:E29"/>
    <mergeCell ref="A22:E22"/>
    <mergeCell ref="A28:E28"/>
    <mergeCell ref="A19:E21"/>
    <mergeCell ref="A23:E23"/>
    <mergeCell ref="A24:E27"/>
  </mergeCells>
  <conditionalFormatting sqref="A24 A8 A10 A30">
    <cfRule type="duplicateValues" dxfId="5" priority="6"/>
  </conditionalFormatting>
  <conditionalFormatting sqref="A18">
    <cfRule type="duplicateValues" dxfId="3" priority="4"/>
  </conditionalFormatting>
  <conditionalFormatting sqref="A9 F9">
    <cfRule type="duplicateValues" dxfId="2" priority="3"/>
  </conditionalFormatting>
  <conditionalFormatting sqref="A23">
    <cfRule type="duplicateValues" dxfId="1" priority="2"/>
  </conditionalFormatting>
  <conditionalFormatting sqref="A29 F29">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J49"/>
  <sheetViews>
    <sheetView topLeftCell="A20" zoomScaleNormal="100" workbookViewId="0">
      <selection activeCell="M43" sqref="M43"/>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3" customFormat="1" ht="21" x14ac:dyDescent="0.4">
      <c r="A1" s="34" t="s">
        <v>55</v>
      </c>
      <c r="B1" s="33" t="s">
        <v>163</v>
      </c>
    </row>
    <row r="2" spans="1:7" s="33" customFormat="1" ht="21" x14ac:dyDescent="0.4">
      <c r="B2" s="33" t="s">
        <v>160</v>
      </c>
    </row>
    <row r="3" spans="1:7" ht="14.4" x14ac:dyDescent="0.3">
      <c r="A3" s="1"/>
      <c r="B3" s="1"/>
      <c r="C3" s="1"/>
      <c r="D3" s="1"/>
      <c r="E3" s="1"/>
      <c r="F3" s="1"/>
      <c r="G3" s="1"/>
    </row>
    <row r="4" spans="1:7" ht="23.4" x14ac:dyDescent="0.45">
      <c r="A4" s="15" t="s">
        <v>161</v>
      </c>
      <c r="B4" s="1"/>
      <c r="C4" s="1"/>
      <c r="D4" s="1"/>
      <c r="E4" s="1"/>
      <c r="F4" s="1"/>
      <c r="G4" s="1"/>
    </row>
    <row r="5" spans="1:7" ht="14.4" x14ac:dyDescent="0.3">
      <c r="A5" s="17" t="s">
        <v>64</v>
      </c>
      <c r="B5" s="18" t="s">
        <v>79</v>
      </c>
      <c r="C5" s="19" t="s">
        <v>71</v>
      </c>
      <c r="D5" s="18" t="s">
        <v>75</v>
      </c>
      <c r="E5" s="19" t="s">
        <v>76</v>
      </c>
      <c r="F5" s="20" t="s">
        <v>77</v>
      </c>
    </row>
    <row r="6" spans="1:7" ht="14.4" x14ac:dyDescent="0.3">
      <c r="A6" s="4" t="s">
        <v>40</v>
      </c>
      <c r="B6" s="9">
        <f>VLOOKUP(A6:A27,Dataset!A1:G40,7,FALSE)</f>
        <v>2.7</v>
      </c>
      <c r="C6" s="9">
        <f>VLOOKUP(A6:A27,Dataset!A1:N40,14,FALSE)</f>
        <v>7.6</v>
      </c>
      <c r="D6" s="9">
        <f>VLOOKUP(A6:A27,Dataset!A1:R40,18,FALSE)</f>
        <v>4.2</v>
      </c>
      <c r="E6" s="9">
        <f>VLOOKUP(A6:A27,Dataset!A1:T40,20,FALSE)</f>
        <v>8.9</v>
      </c>
      <c r="F6" s="5">
        <f>VLOOKUP(A6:A27,Dataset!A1:V40,22,FALSE)</f>
        <v>4.2</v>
      </c>
    </row>
    <row r="7" spans="1:7" ht="14.4" x14ac:dyDescent="0.3">
      <c r="A7" s="4" t="s">
        <v>4</v>
      </c>
      <c r="B7" s="9">
        <f>VLOOKUP(A7:A28,Dataset!A2:G41,7,FALSE)</f>
        <v>2.7</v>
      </c>
      <c r="C7" s="9">
        <f>VLOOKUP(A7:A28,Dataset!A2:N41,14,FALSE)</f>
        <v>7.6</v>
      </c>
      <c r="D7" s="9">
        <f>VLOOKUP(A7:A28,Dataset!A2:R41,18,FALSE)</f>
        <v>4.2</v>
      </c>
      <c r="E7" s="9">
        <f>VLOOKUP(A7:A28,Dataset!A2:T41,20,FALSE)</f>
        <v>8.9</v>
      </c>
      <c r="F7" s="5">
        <f>VLOOKUP(A7:A28,Dataset!A2:V41,22,FALSE)</f>
        <v>4.2</v>
      </c>
    </row>
    <row r="8" spans="1:7" ht="14.4" x14ac:dyDescent="0.3">
      <c r="A8" s="4" t="s">
        <v>7</v>
      </c>
      <c r="B8" s="9">
        <f>VLOOKUP(A8:A29,Dataset!A3:G42,7,FALSE)</f>
        <v>3.6</v>
      </c>
      <c r="C8" s="9">
        <f>VLOOKUP(A8:A29,Dataset!A3:N42,14,FALSE)</f>
        <v>11.1</v>
      </c>
      <c r="D8" s="9">
        <f>VLOOKUP(A8:A29,Dataset!A3:R42,18,FALSE)</f>
        <v>5.8</v>
      </c>
      <c r="E8" s="9">
        <f>VLOOKUP(A8:A29,Dataset!A3:T42,20,FALSE)</f>
        <v>12.2</v>
      </c>
      <c r="F8" s="5">
        <f>VLOOKUP(A8:A29,Dataset!A3:V42,22,FALSE)</f>
        <v>5.8</v>
      </c>
    </row>
    <row r="9" spans="1:7" ht="14.4" x14ac:dyDescent="0.3">
      <c r="A9" s="4" t="s">
        <v>8</v>
      </c>
      <c r="B9" s="9">
        <f>VLOOKUP(A9:A30,Dataset!A4:G43,7,FALSE)</f>
        <v>4.9000000000000004</v>
      </c>
      <c r="C9" s="9">
        <f>VLOOKUP(A9:A30,Dataset!A4:N43,14,FALSE)</f>
        <v>13.3</v>
      </c>
      <c r="D9" s="9">
        <f>VLOOKUP(A9:A30,Dataset!A4:R43,18,FALSE)</f>
        <v>8.1</v>
      </c>
      <c r="E9" s="9">
        <f>VLOOKUP(A9:A30,Dataset!A4:T43,20,FALSE)</f>
        <v>17</v>
      </c>
      <c r="F9" s="5">
        <f>VLOOKUP(A9:A30,Dataset!A4:V43,22,FALSE)</f>
        <v>8.1</v>
      </c>
    </row>
    <row r="10" spans="1:7" ht="14.4" x14ac:dyDescent="0.3">
      <c r="A10" s="4" t="s">
        <v>11</v>
      </c>
      <c r="B10" s="9">
        <f>VLOOKUP(A10:A31,Dataset!A5:G44,7,FALSE)</f>
        <v>9.4</v>
      </c>
      <c r="C10" s="9">
        <f>VLOOKUP(A10:A31,Dataset!A5:N44,14,FALSE)</f>
        <v>28.3</v>
      </c>
      <c r="D10" s="9">
        <f>VLOOKUP(A10:A31,Dataset!A5:R44,18,FALSE)</f>
        <v>16.100000000000001</v>
      </c>
      <c r="E10" s="9">
        <f>VLOOKUP(A10:A31,Dataset!A5:T44,20,FALSE)</f>
        <v>32.799999999999997</v>
      </c>
      <c r="F10" s="5">
        <f>VLOOKUP(A10:A31,Dataset!A5:V44,22,FALSE)</f>
        <v>16.100000000000001</v>
      </c>
    </row>
    <row r="11" spans="1:7" ht="14.4" x14ac:dyDescent="0.3">
      <c r="A11" s="4" t="s">
        <v>12</v>
      </c>
      <c r="B11" s="9">
        <f>VLOOKUP(A11:A32,Dataset!A6:G45,7,FALSE)</f>
        <v>11.6</v>
      </c>
      <c r="C11" s="9">
        <f>VLOOKUP(A11:A32,Dataset!A6:N45,14,FALSE)</f>
        <v>35.200000000000003</v>
      </c>
      <c r="D11" s="9">
        <f>VLOOKUP(A11:A32,Dataset!A6:R45,18,FALSE)</f>
        <v>21.3</v>
      </c>
      <c r="E11" s="9">
        <f>VLOOKUP(A11:A32,Dataset!A6:T45,20,FALSE)</f>
        <v>43</v>
      </c>
      <c r="F11" s="5">
        <f>VLOOKUP(A11:A32,Dataset!A6:V45,22,FALSE)</f>
        <v>21.3</v>
      </c>
    </row>
    <row r="12" spans="1:7" ht="14.4" x14ac:dyDescent="0.3">
      <c r="A12" s="4" t="s">
        <v>14</v>
      </c>
      <c r="B12" s="9">
        <f>VLOOKUP(A12:A33,Dataset!A7:G46,7,FALSE)</f>
        <v>18.399999999999999</v>
      </c>
      <c r="C12" s="9">
        <f>VLOOKUP(A12:A33,Dataset!A7:N46,14,FALSE)</f>
        <v>55.6</v>
      </c>
      <c r="D12" s="9">
        <f>VLOOKUP(A12:A33,Dataset!A7:R46,18,FALSE)</f>
        <v>33.799999999999997</v>
      </c>
      <c r="E12" s="9">
        <f>VLOOKUP(A12:A33,Dataset!A7:T46,20,FALSE)</f>
        <v>67.900000000000006</v>
      </c>
      <c r="F12" s="5">
        <f>VLOOKUP(A12:A33,Dataset!A7:V46,22,FALSE)</f>
        <v>33.799999999999997</v>
      </c>
    </row>
    <row r="13" spans="1:7" ht="14.4" x14ac:dyDescent="0.3">
      <c r="A13" s="4" t="s">
        <v>15</v>
      </c>
      <c r="B13" s="9">
        <f>VLOOKUP(A13:A34,Dataset!A8:G47,7,FALSE)</f>
        <v>0</v>
      </c>
      <c r="C13" s="9">
        <f>VLOOKUP(A13:A34,Dataset!A8:N47,14,FALSE)</f>
        <v>0</v>
      </c>
      <c r="D13" s="9">
        <f>VLOOKUP(A13:A34,Dataset!A8:R47,18,FALSE)</f>
        <v>0</v>
      </c>
      <c r="E13" s="9">
        <f>VLOOKUP(A13:A34,Dataset!A8:T47,20,FALSE)</f>
        <v>0</v>
      </c>
      <c r="F13" s="5">
        <f>VLOOKUP(A13:A34,Dataset!A8:V47,22,FALSE)</f>
        <v>0</v>
      </c>
    </row>
    <row r="14" spans="1:7" ht="14.4" x14ac:dyDescent="0.3">
      <c r="A14" s="4" t="s">
        <v>16</v>
      </c>
      <c r="B14" s="9">
        <f>VLOOKUP(A14:A35,Dataset!A9:G48,7,FALSE)</f>
        <v>21.9</v>
      </c>
      <c r="C14" s="9">
        <f>VLOOKUP(A14:A35,Dataset!A9:N48,14,FALSE)</f>
        <v>61.5</v>
      </c>
      <c r="D14" s="9">
        <f>VLOOKUP(A14:A35,Dataset!A9:R48,18,FALSE)</f>
        <v>40.1</v>
      </c>
      <c r="E14" s="9">
        <f>VLOOKUP(A14:A35,Dataset!A9:T48,20,FALSE)</f>
        <v>76.599999999999994</v>
      </c>
      <c r="F14" s="5">
        <f>VLOOKUP(A14:A35,Dataset!A9:V48,22,FALSE)</f>
        <v>40.1</v>
      </c>
    </row>
    <row r="15" spans="1:7" ht="14.4" x14ac:dyDescent="0.3">
      <c r="A15" s="4" t="s">
        <v>18</v>
      </c>
      <c r="B15" s="9">
        <f>VLOOKUP(A15:A36,Dataset!A10:G49,7,FALSE)</f>
        <v>26.8</v>
      </c>
      <c r="C15" s="9">
        <f>VLOOKUP(A15:A36,Dataset!A10:N49,14,FALSE)</f>
        <v>79.599999999999994</v>
      </c>
      <c r="D15" s="9">
        <f>VLOOKUP(A15:A36,Dataset!A10:R49,18,FALSE)</f>
        <v>47.9</v>
      </c>
      <c r="E15" s="9">
        <f>VLOOKUP(A15:A36,Dataset!A10:T49,20,FALSE)</f>
        <v>96.8</v>
      </c>
      <c r="F15" s="5">
        <f>VLOOKUP(A15:A36,Dataset!A10:V49,22,FALSE)</f>
        <v>47.9</v>
      </c>
    </row>
    <row r="16" spans="1:7" ht="14.4" x14ac:dyDescent="0.3">
      <c r="A16" s="4" t="s">
        <v>20</v>
      </c>
      <c r="B16" s="9">
        <f>VLOOKUP(A16:A37,Dataset!A11:G50,7,FALSE)</f>
        <v>28.5</v>
      </c>
      <c r="C16" s="9">
        <f>VLOOKUP(A16:A37,Dataset!A11:N50,14,FALSE)</f>
        <v>85.4</v>
      </c>
      <c r="D16" s="9">
        <f>VLOOKUP(A16:A37,Dataset!A11:R50,18,FALSE)</f>
        <v>52.3</v>
      </c>
      <c r="E16" s="9">
        <f>VLOOKUP(A16:A37,Dataset!A11:T50,20,FALSE)</f>
        <v>106.1</v>
      </c>
      <c r="F16" s="5">
        <f>VLOOKUP(A16:A37,Dataset!A11:V50,22,FALSE)</f>
        <v>52.3</v>
      </c>
    </row>
    <row r="17" spans="1:6" ht="14.4" x14ac:dyDescent="0.3">
      <c r="A17" s="4" t="s">
        <v>22</v>
      </c>
      <c r="B17" s="9">
        <f>VLOOKUP(A17:A38,Dataset!A12:G51,7,FALSE)</f>
        <v>30.7</v>
      </c>
      <c r="C17" s="9">
        <f>VLOOKUP(A17:A38,Dataset!A12:N51,14,FALSE)</f>
        <v>92.1</v>
      </c>
      <c r="D17" s="9">
        <f>VLOOKUP(A17:A38,Dataset!A12:R51,18,FALSE)</f>
        <v>57</v>
      </c>
      <c r="E17" s="9">
        <f>VLOOKUP(A17:A38,Dataset!A12:T51,20,FALSE)</f>
        <v>115.1</v>
      </c>
      <c r="F17" s="5">
        <f>VLOOKUP(A17:A38,Dataset!A12:V51,22,FALSE)</f>
        <v>57</v>
      </c>
    </row>
    <row r="18" spans="1:6" ht="14.4" x14ac:dyDescent="0.3">
      <c r="A18" s="4" t="s">
        <v>23</v>
      </c>
      <c r="B18" s="9">
        <f>VLOOKUP(A18:A39,Dataset!A13:G52,7,FALSE)</f>
        <v>33.799999999999997</v>
      </c>
      <c r="C18" s="9">
        <f>VLOOKUP(A18:A39,Dataset!A13:N52,14,FALSE)</f>
        <v>101.3</v>
      </c>
      <c r="D18" s="9">
        <f>VLOOKUP(A18:A39,Dataset!A13:R52,18,FALSE)</f>
        <v>61.4</v>
      </c>
      <c r="E18" s="9">
        <f>VLOOKUP(A18:A39,Dataset!A13:T52,20,FALSE)</f>
        <v>124.4</v>
      </c>
      <c r="F18" s="5">
        <f>VLOOKUP(A18:A39,Dataset!A13:V52,22,FALSE)</f>
        <v>61.4</v>
      </c>
    </row>
    <row r="19" spans="1:6" ht="14.4" x14ac:dyDescent="0.3">
      <c r="A19" s="4" t="s">
        <v>24</v>
      </c>
      <c r="B19" s="9">
        <f>VLOOKUP(A19:A40,Dataset!A14:G53,7,FALSE)</f>
        <v>34.700000000000003</v>
      </c>
      <c r="C19" s="9">
        <f>VLOOKUP(A19:A40,Dataset!A14:N53,14,FALSE)</f>
        <v>106.1</v>
      </c>
      <c r="D19" s="9">
        <f>VLOOKUP(A19:A40,Dataset!A14:R53,18,FALSE)</f>
        <v>63.6</v>
      </c>
      <c r="E19" s="9">
        <f>VLOOKUP(A19:A40,Dataset!A14:T53,20,FALSE)</f>
        <v>128.6</v>
      </c>
      <c r="F19" s="5">
        <f>VLOOKUP(A19:A40,Dataset!A14:V53,22,FALSE)</f>
        <v>63.6</v>
      </c>
    </row>
    <row r="20" spans="1:6" ht="14.4" x14ac:dyDescent="0.3">
      <c r="A20" s="4" t="s">
        <v>28</v>
      </c>
      <c r="B20" s="9">
        <f>VLOOKUP(A20:A41,Dataset!A15:G54,7,FALSE)</f>
        <v>0</v>
      </c>
      <c r="C20" s="9">
        <f>VLOOKUP(A20:A41,Dataset!A15:N54,14,FALSE)</f>
        <v>0</v>
      </c>
      <c r="D20" s="9">
        <f>VLOOKUP(A20:A41,Dataset!A15:R54,18,FALSE)</f>
        <v>0</v>
      </c>
      <c r="E20" s="9">
        <f>VLOOKUP(A20:A41,Dataset!A15:T54,20,FALSE)</f>
        <v>0</v>
      </c>
      <c r="F20" s="5">
        <f>VLOOKUP(A20:A41,Dataset!A15:V54,22,FALSE)</f>
        <v>0</v>
      </c>
    </row>
    <row r="21" spans="1:6" ht="14.4" x14ac:dyDescent="0.3">
      <c r="A21" s="4" t="s">
        <v>57</v>
      </c>
      <c r="B21" s="9">
        <f>VLOOKUP(A21:A42,Dataset!A16:G55,7,FALSE)</f>
        <v>41.3</v>
      </c>
      <c r="C21" s="9">
        <f>VLOOKUP(A21:A42,Dataset!A16:N55,14,FALSE)</f>
        <v>124.4</v>
      </c>
      <c r="D21" s="9">
        <f>VLOOKUP(A21:A42,Dataset!A16:R55,18,FALSE)</f>
        <v>75</v>
      </c>
      <c r="E21" s="9">
        <f>VLOOKUP(A21:A42,Dataset!A16:T55,20,FALSE)</f>
        <v>151.5</v>
      </c>
      <c r="F21" s="5">
        <f>VLOOKUP(A21:A42,Dataset!A16:V55,22,FALSE)</f>
        <v>75</v>
      </c>
    </row>
    <row r="22" spans="1:6" ht="14.4" x14ac:dyDescent="0.3">
      <c r="A22" s="4" t="s">
        <v>58</v>
      </c>
      <c r="B22" s="9">
        <f>VLOOKUP(A22:A43,Dataset!A17:G56,7,FALSE)</f>
        <v>-1</v>
      </c>
      <c r="C22" s="9">
        <f>VLOOKUP(A22:A43,Dataset!A17:N56,14,FALSE)</f>
        <v>-1</v>
      </c>
      <c r="D22" s="9">
        <f>VLOOKUP(A22:A43,Dataset!A17:R56,18,FALSE)</f>
        <v>-1</v>
      </c>
      <c r="E22" s="9">
        <f>VLOOKUP(A22:A43,Dataset!A17:T56,20,FALSE)</f>
        <v>-1</v>
      </c>
      <c r="F22" s="5">
        <f>VLOOKUP(A22:A43,Dataset!A17:V56,22,FALSE)</f>
        <v>-1</v>
      </c>
    </row>
    <row r="23" spans="1:6" ht="14.4" x14ac:dyDescent="0.3">
      <c r="A23" s="4" t="s">
        <v>31</v>
      </c>
      <c r="B23" s="9">
        <f>VLOOKUP(A23:A44,Dataset!A18:G57,7,FALSE)</f>
        <v>45</v>
      </c>
      <c r="C23" s="9">
        <f>VLOOKUP(A23:A44,Dataset!A18:N57,14,FALSE)</f>
        <v>133.4</v>
      </c>
      <c r="D23" s="9">
        <f>VLOOKUP(A23:A44,Dataset!A18:R57,18,FALSE)</f>
        <v>79.400000000000006</v>
      </c>
      <c r="E23" s="9">
        <f>VLOOKUP(A23:A44,Dataset!A18:T57,20,FALSE)</f>
        <v>160.9</v>
      </c>
      <c r="F23" s="5">
        <f>VLOOKUP(A23:A44,Dataset!A18:V57,22,FALSE)</f>
        <v>79.400000000000006</v>
      </c>
    </row>
    <row r="24" spans="1:6" ht="14.4" x14ac:dyDescent="0.3">
      <c r="A24" s="4" t="s">
        <v>32</v>
      </c>
      <c r="B24" s="9">
        <f>VLOOKUP(A24:A45,Dataset!A19:G58,7,FALSE)</f>
        <v>-1</v>
      </c>
      <c r="C24" s="9">
        <f>VLOOKUP(A24:A45,Dataset!A19:N58,14,FALSE)</f>
        <v>-1</v>
      </c>
      <c r="D24" s="9">
        <f>VLOOKUP(A24:A45,Dataset!A19:R58,18,FALSE)</f>
        <v>-1</v>
      </c>
      <c r="E24" s="9">
        <f>VLOOKUP(A24:A45,Dataset!A19:T58,20,FALSE)</f>
        <v>-1</v>
      </c>
      <c r="F24" s="5">
        <f>VLOOKUP(A24:A45,Dataset!A19:V58,22,FALSE)</f>
        <v>-1</v>
      </c>
    </row>
    <row r="25" spans="1:6" ht="14.4" x14ac:dyDescent="0.3">
      <c r="A25" s="4" t="s">
        <v>34</v>
      </c>
      <c r="B25" s="9">
        <f>VLOOKUP(A25:A46,Dataset!A20:G59,7,FALSE)</f>
        <v>43.3</v>
      </c>
      <c r="C25" s="9">
        <f>VLOOKUP(A25:A46,Dataset!A20:N59,14,FALSE)</f>
        <v>128.6</v>
      </c>
      <c r="D25" s="9">
        <f>VLOOKUP(A25:A46,Dataset!A20:R59,18,FALSE)</f>
        <v>79.400000000000006</v>
      </c>
      <c r="E25" s="9">
        <f>VLOOKUP(A25:A46,Dataset!A20:T59,20,FALSE)</f>
        <v>160.9</v>
      </c>
      <c r="F25" s="5">
        <f>VLOOKUP(A25:A46,Dataset!A20:V59,22,FALSE)</f>
        <v>79.400000000000006</v>
      </c>
    </row>
    <row r="26" spans="1:6" ht="14.4" x14ac:dyDescent="0.3">
      <c r="A26" s="4" t="s">
        <v>37</v>
      </c>
      <c r="B26" s="9">
        <f>VLOOKUP(A26:A47,Dataset!A21:G60,7,FALSE)</f>
        <v>49.1</v>
      </c>
      <c r="C26" s="9">
        <f>VLOOKUP(A26:A47,Dataset!A21:N60,14,FALSE)</f>
        <v>146.80000000000001</v>
      </c>
      <c r="D26" s="9">
        <f>VLOOKUP(A26:A47,Dataset!A21:R60,18,FALSE)</f>
        <v>90.9</v>
      </c>
      <c r="E26" s="9">
        <f>VLOOKUP(A26:A47,Dataset!A21:T60,20,FALSE)</f>
        <v>183.5</v>
      </c>
      <c r="F26" s="5">
        <f>VLOOKUP(A26:A47,Dataset!A21:V60,22,FALSE)</f>
        <v>90.9</v>
      </c>
    </row>
    <row r="27" spans="1:6" ht="14.4" x14ac:dyDescent="0.3">
      <c r="A27" s="4" t="s">
        <v>39</v>
      </c>
      <c r="B27" s="9">
        <f>VLOOKUP(A27:A48,Dataset!A22:G61,7,FALSE)</f>
        <v>51.8</v>
      </c>
      <c r="C27" s="9">
        <f>VLOOKUP(A27:A48,Dataset!A22:N61,14,FALSE)</f>
        <v>156.4</v>
      </c>
      <c r="D27" s="9">
        <f>VLOOKUP(A27:A48,Dataset!A22:R61,18,FALSE)</f>
        <v>93.1</v>
      </c>
      <c r="E27" s="9">
        <f>VLOOKUP(A27:A48,Dataset!A22:T61,20,FALSE)</f>
        <v>188.1</v>
      </c>
      <c r="F27" s="5">
        <f>VLOOKUP(A27:A48,Dataset!A22:V61,22,FALSE)</f>
        <v>93.1</v>
      </c>
    </row>
    <row r="28" spans="1:6" ht="14.4" x14ac:dyDescent="0.3">
      <c r="A28" s="16" t="s">
        <v>82</v>
      </c>
      <c r="B28" s="24">
        <f>MIN(B6:B27)</f>
        <v>-1</v>
      </c>
      <c r="C28" s="24">
        <f t="shared" ref="C28:F28" si="0">MIN(C6:C27)</f>
        <v>-1</v>
      </c>
      <c r="D28" s="24">
        <f t="shared" si="0"/>
        <v>-1</v>
      </c>
      <c r="E28" s="24">
        <f t="shared" si="0"/>
        <v>-1</v>
      </c>
      <c r="F28" s="24">
        <f t="shared" si="0"/>
        <v>-1</v>
      </c>
    </row>
    <row r="29" spans="1:6" ht="14.4" x14ac:dyDescent="0.3">
      <c r="A29" s="16" t="s">
        <v>83</v>
      </c>
      <c r="B29" s="24">
        <f>MAX(B6:B27)</f>
        <v>51.8</v>
      </c>
      <c r="C29" s="24">
        <f t="shared" ref="C29:F29" si="1">MAX(C6:C27)</f>
        <v>156.4</v>
      </c>
      <c r="D29" s="24">
        <f t="shared" si="1"/>
        <v>93.1</v>
      </c>
      <c r="E29" s="24">
        <f t="shared" si="1"/>
        <v>188.1</v>
      </c>
      <c r="F29" s="24">
        <f t="shared" si="1"/>
        <v>93.1</v>
      </c>
    </row>
    <row r="30" spans="1:6" ht="14.4" x14ac:dyDescent="0.3">
      <c r="A30" s="16" t="s">
        <v>84</v>
      </c>
      <c r="B30" s="24">
        <f>AVERAGE(B6:B27)</f>
        <v>20.827272727272728</v>
      </c>
      <c r="C30" s="24">
        <f t="shared" ref="C30:F30" si="2">AVERAGE(C6:C27)</f>
        <v>62.377272727272725</v>
      </c>
      <c r="D30" s="24">
        <f t="shared" si="2"/>
        <v>37.800000000000004</v>
      </c>
      <c r="E30" s="24">
        <f t="shared" si="2"/>
        <v>76.418181818181822</v>
      </c>
      <c r="F30" s="24">
        <f t="shared" si="2"/>
        <v>37.800000000000004</v>
      </c>
    </row>
    <row r="33" spans="1:10" x14ac:dyDescent="0.3">
      <c r="A33" s="2" t="s">
        <v>152</v>
      </c>
    </row>
    <row r="35" spans="1:10" x14ac:dyDescent="0.3">
      <c r="A35" s="68" t="s">
        <v>187</v>
      </c>
      <c r="B35" s="68"/>
      <c r="C35" s="68"/>
      <c r="D35" s="68"/>
      <c r="E35" s="68"/>
      <c r="F35" s="68"/>
      <c r="G35" s="68"/>
      <c r="H35" s="66"/>
      <c r="I35" s="67"/>
      <c r="J35" s="67"/>
    </row>
    <row r="36" spans="1:10" x14ac:dyDescent="0.3">
      <c r="A36" s="69"/>
      <c r="B36" s="69"/>
      <c r="C36" s="69"/>
      <c r="D36" s="69"/>
      <c r="E36" s="69"/>
      <c r="F36" s="69"/>
      <c r="G36" s="69"/>
    </row>
    <row r="37" spans="1:10" x14ac:dyDescent="0.3">
      <c r="A37" s="68" t="s">
        <v>188</v>
      </c>
      <c r="B37" s="68"/>
      <c r="C37" s="68"/>
      <c r="D37" s="68"/>
      <c r="E37" s="68"/>
      <c r="F37" s="68"/>
      <c r="G37" s="68"/>
    </row>
    <row r="38" spans="1:10" x14ac:dyDescent="0.3">
      <c r="A38" s="69"/>
      <c r="B38" s="69"/>
      <c r="C38" s="69"/>
      <c r="D38" s="69"/>
      <c r="E38" s="69"/>
      <c r="F38" s="69"/>
      <c r="G38" s="69"/>
    </row>
    <row r="39" spans="1:10" x14ac:dyDescent="0.3">
      <c r="A39" s="68" t="s">
        <v>189</v>
      </c>
      <c r="B39" s="68"/>
      <c r="C39" s="68"/>
      <c r="D39" s="68"/>
      <c r="E39" s="68"/>
      <c r="F39" s="68"/>
      <c r="G39" s="68"/>
    </row>
    <row r="40" spans="1:10" x14ac:dyDescent="0.3">
      <c r="A40" s="69"/>
      <c r="B40" s="69"/>
      <c r="C40" s="69"/>
      <c r="D40" s="69"/>
      <c r="E40" s="69"/>
      <c r="F40" s="69"/>
      <c r="G40" s="69"/>
    </row>
    <row r="41" spans="1:10" x14ac:dyDescent="0.3">
      <c r="A41" s="68" t="s">
        <v>190</v>
      </c>
      <c r="B41" s="68"/>
      <c r="C41" s="68"/>
      <c r="D41" s="68"/>
      <c r="E41" s="68"/>
      <c r="F41" s="68"/>
      <c r="G41" s="68"/>
    </row>
    <row r="42" spans="1:10" x14ac:dyDescent="0.3">
      <c r="A42" s="69"/>
      <c r="B42" s="69"/>
      <c r="C42" s="69"/>
      <c r="D42" s="69"/>
      <c r="E42" s="69"/>
      <c r="F42" s="69"/>
      <c r="G42" s="69"/>
    </row>
    <row r="43" spans="1:10" x14ac:dyDescent="0.3">
      <c r="A43" s="68" t="s">
        <v>191</v>
      </c>
      <c r="B43" s="68"/>
      <c r="C43" s="68"/>
      <c r="D43" s="68"/>
      <c r="E43" s="68"/>
      <c r="F43" s="68"/>
      <c r="G43" s="68"/>
    </row>
    <row r="44" spans="1:10" x14ac:dyDescent="0.3">
      <c r="A44" s="69"/>
      <c r="B44" s="69"/>
      <c r="C44" s="69"/>
      <c r="D44" s="69"/>
      <c r="E44" s="69"/>
      <c r="F44" s="69"/>
      <c r="G44" s="69"/>
    </row>
    <row r="45" spans="1:10" x14ac:dyDescent="0.3">
      <c r="A45" s="68" t="s">
        <v>192</v>
      </c>
      <c r="B45" s="68"/>
      <c r="C45" s="68"/>
      <c r="D45" s="68"/>
      <c r="E45" s="68"/>
      <c r="F45" s="68"/>
      <c r="G45" s="68"/>
    </row>
    <row r="46" spans="1:10" x14ac:dyDescent="0.3">
      <c r="A46" s="69"/>
      <c r="B46" s="69"/>
      <c r="C46" s="69"/>
      <c r="D46" s="69"/>
      <c r="E46" s="69"/>
      <c r="F46" s="69"/>
      <c r="G46" s="69"/>
    </row>
    <row r="47" spans="1:10" x14ac:dyDescent="0.3">
      <c r="A47" s="68" t="s">
        <v>193</v>
      </c>
      <c r="B47" s="68"/>
      <c r="C47" s="68"/>
      <c r="D47" s="68"/>
      <c r="E47" s="68"/>
      <c r="F47" s="68"/>
      <c r="G47" s="68"/>
    </row>
    <row r="48" spans="1:10" x14ac:dyDescent="0.3">
      <c r="A48" s="69"/>
      <c r="B48" s="69"/>
      <c r="C48" s="69"/>
      <c r="D48" s="69"/>
      <c r="E48" s="69"/>
      <c r="F48" s="69"/>
      <c r="G48" s="69"/>
    </row>
    <row r="49" spans="1:7" x14ac:dyDescent="0.3">
      <c r="A49" s="68" t="s">
        <v>194</v>
      </c>
      <c r="B49" s="68"/>
      <c r="C49" s="68"/>
      <c r="D49" s="68"/>
      <c r="E49" s="68"/>
      <c r="F49" s="68"/>
      <c r="G49" s="68"/>
    </row>
  </sheetData>
  <mergeCells count="15">
    <mergeCell ref="A48:G48"/>
    <mergeCell ref="A47:G47"/>
    <mergeCell ref="A49:G49"/>
    <mergeCell ref="A36:G36"/>
    <mergeCell ref="A38:G38"/>
    <mergeCell ref="A40:G40"/>
    <mergeCell ref="A42:G42"/>
    <mergeCell ref="A44:G44"/>
    <mergeCell ref="A46:G46"/>
    <mergeCell ref="A37:G37"/>
    <mergeCell ref="A39:G39"/>
    <mergeCell ref="A41:G41"/>
    <mergeCell ref="A43:G43"/>
    <mergeCell ref="A45:G45"/>
    <mergeCell ref="A35:G3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K54"/>
  <sheetViews>
    <sheetView zoomScaleNormal="100" workbookViewId="0">
      <selection activeCell="B3" sqref="B3:K8"/>
    </sheetView>
  </sheetViews>
  <sheetFormatPr defaultColWidth="11" defaultRowHeight="14.4" x14ac:dyDescent="0.3"/>
  <cols>
    <col min="1" max="1" width="39.77734375" style="1" bestFit="1" customWidth="1"/>
    <col min="2" max="16384" width="11" style="1"/>
  </cols>
  <sheetData>
    <row r="1" spans="1:11" s="33" customFormat="1" ht="21" x14ac:dyDescent="0.4">
      <c r="A1" s="34" t="s">
        <v>56</v>
      </c>
      <c r="B1" s="33" t="s">
        <v>173</v>
      </c>
    </row>
    <row r="2" spans="1:11" customFormat="1" ht="13.2" x14ac:dyDescent="0.25"/>
    <row r="3" spans="1:11" s="2" customFormat="1" ht="14.4" customHeight="1" x14ac:dyDescent="0.3">
      <c r="B3" s="74" t="s">
        <v>195</v>
      </c>
      <c r="C3" s="75"/>
      <c r="D3" s="75"/>
      <c r="E3" s="75"/>
      <c r="F3" s="75"/>
      <c r="G3" s="75"/>
      <c r="H3" s="75"/>
      <c r="I3" s="75"/>
      <c r="J3" s="75"/>
      <c r="K3" s="75"/>
    </row>
    <row r="4" spans="1:11" s="2" customFormat="1" ht="14.4" customHeight="1" x14ac:dyDescent="0.3">
      <c r="B4" s="75"/>
      <c r="C4" s="75"/>
      <c r="D4" s="75"/>
      <c r="E4" s="75"/>
      <c r="F4" s="75"/>
      <c r="G4" s="75"/>
      <c r="H4" s="75"/>
      <c r="I4" s="75"/>
      <c r="J4" s="75"/>
      <c r="K4" s="75"/>
    </row>
    <row r="5" spans="1:11" ht="18" x14ac:dyDescent="0.35">
      <c r="A5" s="35" t="s">
        <v>53</v>
      </c>
      <c r="B5" s="75"/>
      <c r="C5" s="75"/>
      <c r="D5" s="75"/>
      <c r="E5" s="75"/>
      <c r="F5" s="75"/>
      <c r="G5" s="75"/>
      <c r="H5" s="75"/>
      <c r="I5" s="75"/>
      <c r="J5" s="75"/>
      <c r="K5" s="75"/>
    </row>
    <row r="6" spans="1:11" ht="18" x14ac:dyDescent="0.35">
      <c r="A6" s="35" t="s">
        <v>152</v>
      </c>
      <c r="B6" s="75"/>
      <c r="C6" s="75"/>
      <c r="D6" s="75"/>
      <c r="E6" s="75"/>
      <c r="F6" s="75"/>
      <c r="G6" s="75"/>
      <c r="H6" s="75"/>
      <c r="I6" s="75"/>
      <c r="J6" s="75"/>
      <c r="K6" s="75"/>
    </row>
    <row r="7" spans="1:11" ht="18" x14ac:dyDescent="0.35">
      <c r="A7" s="35"/>
      <c r="B7" s="75"/>
      <c r="C7" s="75"/>
      <c r="D7" s="75"/>
      <c r="E7" s="75"/>
      <c r="F7" s="75"/>
      <c r="G7" s="75"/>
      <c r="H7" s="75"/>
      <c r="I7" s="75"/>
      <c r="J7" s="75"/>
      <c r="K7" s="75"/>
    </row>
    <row r="8" spans="1:11" x14ac:dyDescent="0.3">
      <c r="B8" s="75"/>
      <c r="C8" s="75"/>
      <c r="D8" s="75"/>
      <c r="E8" s="75"/>
      <c r="F8" s="75"/>
      <c r="G8" s="75"/>
      <c r="H8" s="75"/>
      <c r="I8" s="75"/>
      <c r="J8" s="75"/>
      <c r="K8" s="75"/>
    </row>
    <row r="9" spans="1:11" ht="23.4" x14ac:dyDescent="0.45">
      <c r="A9" s="15" t="s">
        <v>164</v>
      </c>
      <c r="I9" s="2"/>
      <c r="J9" s="2"/>
    </row>
    <row r="10" spans="1:11" x14ac:dyDescent="0.3">
      <c r="A10" s="26" t="s">
        <v>102</v>
      </c>
      <c r="B10" s="14" t="s">
        <v>49</v>
      </c>
      <c r="C10" s="14" t="s">
        <v>50</v>
      </c>
      <c r="D10" s="14" t="s">
        <v>51</v>
      </c>
      <c r="E10" s="14" t="s">
        <v>52</v>
      </c>
      <c r="F10" s="14" t="s">
        <v>54</v>
      </c>
      <c r="I10" s="2"/>
      <c r="J10" s="2"/>
    </row>
    <row r="11" spans="1:11" x14ac:dyDescent="0.3">
      <c r="A11" s="6" t="s">
        <v>121</v>
      </c>
      <c r="B11" s="10">
        <v>20000</v>
      </c>
      <c r="C11" s="10" t="s">
        <v>5</v>
      </c>
      <c r="D11" s="10">
        <v>0</v>
      </c>
      <c r="E11" s="8" t="s">
        <v>6</v>
      </c>
      <c r="F11" s="8">
        <v>24</v>
      </c>
      <c r="I11" s="2"/>
      <c r="J11" s="2"/>
    </row>
    <row r="14" spans="1:11" ht="23.4" x14ac:dyDescent="0.45">
      <c r="A14" s="15" t="s">
        <v>161</v>
      </c>
    </row>
    <row r="15" spans="1:11" x14ac:dyDescent="0.3">
      <c r="A15" s="11" t="s">
        <v>103</v>
      </c>
      <c r="B15" s="14" t="s">
        <v>49</v>
      </c>
      <c r="C15" s="12" t="s">
        <v>50</v>
      </c>
      <c r="D15" s="14" t="s">
        <v>51</v>
      </c>
      <c r="E15" s="12" t="s">
        <v>52</v>
      </c>
      <c r="F15" s="14" t="s">
        <v>54</v>
      </c>
    </row>
    <row r="16" spans="1:11" x14ac:dyDescent="0.3">
      <c r="A16" s="4" t="s">
        <v>121</v>
      </c>
      <c r="B16" s="4">
        <v>20000</v>
      </c>
      <c r="C16" s="1" t="s">
        <v>5</v>
      </c>
      <c r="D16" s="9">
        <v>0</v>
      </c>
      <c r="E16" s="1" t="s">
        <v>6</v>
      </c>
      <c r="F16" s="9">
        <v>24</v>
      </c>
    </row>
    <row r="17" spans="1:6" x14ac:dyDescent="0.3">
      <c r="A17" s="4" t="s">
        <v>122</v>
      </c>
      <c r="B17" s="4">
        <v>20002</v>
      </c>
      <c r="C17" s="1" t="s">
        <v>5</v>
      </c>
      <c r="D17" s="9">
        <v>0</v>
      </c>
      <c r="E17" s="1" t="s">
        <v>6</v>
      </c>
      <c r="F17" s="9">
        <v>24</v>
      </c>
    </row>
    <row r="18" spans="1:6" x14ac:dyDescent="0.3">
      <c r="A18" s="4" t="s">
        <v>123</v>
      </c>
      <c r="B18" s="4">
        <v>20004</v>
      </c>
      <c r="C18" s="1" t="s">
        <v>5</v>
      </c>
      <c r="D18" s="9">
        <v>0</v>
      </c>
      <c r="E18" s="1" t="s">
        <v>6</v>
      </c>
      <c r="F18" s="9">
        <v>24</v>
      </c>
    </row>
    <row r="19" spans="1:6" x14ac:dyDescent="0.3">
      <c r="A19" s="4" t="s">
        <v>124</v>
      </c>
      <c r="B19" s="4">
        <v>20006</v>
      </c>
      <c r="C19" s="1" t="s">
        <v>5</v>
      </c>
      <c r="D19" s="9">
        <v>0</v>
      </c>
      <c r="E19" s="1" t="s">
        <v>6</v>
      </c>
      <c r="F19" s="9">
        <v>24</v>
      </c>
    </row>
    <row r="20" spans="1:6" x14ac:dyDescent="0.3">
      <c r="A20" s="4" t="s">
        <v>125</v>
      </c>
      <c r="B20" s="4">
        <v>20008</v>
      </c>
      <c r="C20" s="1" t="s">
        <v>5</v>
      </c>
      <c r="D20" s="9">
        <v>0</v>
      </c>
      <c r="E20" s="1" t="s">
        <v>6</v>
      </c>
      <c r="F20" s="9">
        <v>24</v>
      </c>
    </row>
    <row r="21" spans="1:6" x14ac:dyDescent="0.3">
      <c r="A21" s="4" t="s">
        <v>126</v>
      </c>
      <c r="B21" s="4">
        <v>20010</v>
      </c>
      <c r="C21" s="1" t="s">
        <v>5</v>
      </c>
      <c r="D21" s="9">
        <v>0</v>
      </c>
      <c r="E21" s="1" t="s">
        <v>6</v>
      </c>
      <c r="F21" s="9">
        <v>24</v>
      </c>
    </row>
    <row r="22" spans="1:6" x14ac:dyDescent="0.3">
      <c r="A22" s="4" t="s">
        <v>127</v>
      </c>
      <c r="B22" s="4">
        <v>20012</v>
      </c>
      <c r="C22" s="1" t="s">
        <v>5</v>
      </c>
      <c r="D22" s="9">
        <v>0</v>
      </c>
      <c r="E22" s="1" t="s">
        <v>6</v>
      </c>
      <c r="F22" s="9">
        <v>24</v>
      </c>
    </row>
    <row r="23" spans="1:6" x14ac:dyDescent="0.3">
      <c r="A23" s="4" t="s">
        <v>128</v>
      </c>
      <c r="B23" s="4">
        <v>20014</v>
      </c>
      <c r="C23" s="1" t="s">
        <v>5</v>
      </c>
      <c r="D23" s="9">
        <v>0</v>
      </c>
      <c r="E23" s="1" t="s">
        <v>6</v>
      </c>
      <c r="F23" s="9">
        <v>24</v>
      </c>
    </row>
    <row r="24" spans="1:6" x14ac:dyDescent="0.3">
      <c r="A24" s="4" t="s">
        <v>129</v>
      </c>
      <c r="B24" s="4">
        <v>20016</v>
      </c>
      <c r="C24" s="1" t="s">
        <v>5</v>
      </c>
      <c r="D24" s="9">
        <v>0</v>
      </c>
      <c r="E24" s="1" t="s">
        <v>6</v>
      </c>
      <c r="F24" s="9">
        <v>24</v>
      </c>
    </row>
    <row r="25" spans="1:6" x14ac:dyDescent="0.3">
      <c r="A25" s="4" t="s">
        <v>130</v>
      </c>
      <c r="B25" s="4">
        <v>20018</v>
      </c>
      <c r="C25" s="1" t="s">
        <v>5</v>
      </c>
      <c r="D25" s="9">
        <v>0</v>
      </c>
      <c r="E25" s="1" t="s">
        <v>6</v>
      </c>
      <c r="F25" s="9">
        <v>24</v>
      </c>
    </row>
    <row r="26" spans="1:6" x14ac:dyDescent="0.3">
      <c r="A26" s="4" t="s">
        <v>131</v>
      </c>
      <c r="B26" s="4">
        <v>20020</v>
      </c>
      <c r="C26" s="1" t="s">
        <v>5</v>
      </c>
      <c r="D26" s="9">
        <v>0</v>
      </c>
      <c r="E26" s="1" t="s">
        <v>6</v>
      </c>
      <c r="F26" s="9">
        <v>24</v>
      </c>
    </row>
    <row r="27" spans="1:6" x14ac:dyDescent="0.3">
      <c r="A27" s="4" t="s">
        <v>132</v>
      </c>
      <c r="B27" s="4">
        <v>20022</v>
      </c>
      <c r="C27" s="1" t="s">
        <v>5</v>
      </c>
      <c r="D27" s="9">
        <v>0</v>
      </c>
      <c r="E27" s="1" t="s">
        <v>6</v>
      </c>
      <c r="F27" s="9">
        <v>24</v>
      </c>
    </row>
    <row r="28" spans="1:6" x14ac:dyDescent="0.3">
      <c r="A28" s="4" t="s">
        <v>133</v>
      </c>
      <c r="B28" s="4">
        <v>20024</v>
      </c>
      <c r="C28" s="1" t="s">
        <v>5</v>
      </c>
      <c r="D28" s="9">
        <v>0</v>
      </c>
      <c r="E28" s="1" t="s">
        <v>6</v>
      </c>
      <c r="F28" s="9">
        <v>24</v>
      </c>
    </row>
    <row r="29" spans="1:6" x14ac:dyDescent="0.3">
      <c r="A29" s="4" t="s">
        <v>134</v>
      </c>
      <c r="B29" s="4">
        <v>20026</v>
      </c>
      <c r="C29" s="1" t="s">
        <v>5</v>
      </c>
      <c r="D29" s="9">
        <v>0</v>
      </c>
      <c r="E29" s="1" t="s">
        <v>6</v>
      </c>
      <c r="F29" s="9">
        <v>24</v>
      </c>
    </row>
    <row r="30" spans="1:6" x14ac:dyDescent="0.3">
      <c r="A30" s="4" t="s">
        <v>135</v>
      </c>
      <c r="B30" s="4">
        <v>20028</v>
      </c>
      <c r="C30" s="1" t="s">
        <v>5</v>
      </c>
      <c r="D30" s="9">
        <v>0</v>
      </c>
      <c r="E30" s="1" t="s">
        <v>6</v>
      </c>
      <c r="F30" s="9">
        <v>24</v>
      </c>
    </row>
    <row r="31" spans="1:6" x14ac:dyDescent="0.3">
      <c r="A31" s="4" t="s">
        <v>136</v>
      </c>
      <c r="B31" s="4">
        <v>20030</v>
      </c>
      <c r="C31" s="1" t="s">
        <v>5</v>
      </c>
      <c r="D31" s="9">
        <v>0</v>
      </c>
      <c r="E31" s="1" t="s">
        <v>6</v>
      </c>
      <c r="F31" s="9">
        <v>24</v>
      </c>
    </row>
    <row r="32" spans="1:6" x14ac:dyDescent="0.3">
      <c r="A32" s="4" t="s">
        <v>137</v>
      </c>
      <c r="B32" s="4">
        <v>20032</v>
      </c>
      <c r="C32" s="1" t="s">
        <v>5</v>
      </c>
      <c r="D32" s="9">
        <v>0</v>
      </c>
      <c r="E32" s="1" t="s">
        <v>6</v>
      </c>
      <c r="F32" s="9">
        <v>24</v>
      </c>
    </row>
    <row r="33" spans="1:6" x14ac:dyDescent="0.3">
      <c r="A33" s="4" t="s">
        <v>138</v>
      </c>
      <c r="B33" s="4">
        <v>20034</v>
      </c>
      <c r="C33" s="1" t="s">
        <v>5</v>
      </c>
      <c r="D33" s="9">
        <v>0</v>
      </c>
      <c r="E33" s="1" t="s">
        <v>6</v>
      </c>
      <c r="F33" s="9">
        <v>24</v>
      </c>
    </row>
    <row r="34" spans="1:6" x14ac:dyDescent="0.3">
      <c r="A34" s="4" t="s">
        <v>139</v>
      </c>
      <c r="B34" s="4">
        <v>20036</v>
      </c>
      <c r="C34" s="1" t="s">
        <v>5</v>
      </c>
      <c r="D34" s="9">
        <v>0</v>
      </c>
      <c r="E34" s="1" t="s">
        <v>6</v>
      </c>
      <c r="F34" s="9">
        <v>24</v>
      </c>
    </row>
    <row r="35" spans="1:6" x14ac:dyDescent="0.3">
      <c r="A35" s="4" t="s">
        <v>140</v>
      </c>
      <c r="B35" s="4">
        <v>20038</v>
      </c>
      <c r="C35" s="1" t="s">
        <v>5</v>
      </c>
      <c r="D35" s="9">
        <v>0</v>
      </c>
      <c r="E35" s="1" t="s">
        <v>6</v>
      </c>
      <c r="F35" s="9">
        <v>24</v>
      </c>
    </row>
    <row r="36" spans="1:6" x14ac:dyDescent="0.3">
      <c r="A36" s="4" t="s">
        <v>141</v>
      </c>
      <c r="B36" s="4">
        <v>20040</v>
      </c>
      <c r="C36" s="1" t="s">
        <v>5</v>
      </c>
      <c r="D36" s="9">
        <v>0</v>
      </c>
      <c r="E36" s="1" t="s">
        <v>6</v>
      </c>
      <c r="F36" s="9">
        <v>24</v>
      </c>
    </row>
    <row r="37" spans="1:6" x14ac:dyDescent="0.3">
      <c r="A37" s="4" t="s">
        <v>142</v>
      </c>
      <c r="B37" s="4">
        <v>20042</v>
      </c>
      <c r="C37" s="1" t="s">
        <v>5</v>
      </c>
      <c r="D37" s="9">
        <v>0</v>
      </c>
      <c r="E37" s="1" t="s">
        <v>6</v>
      </c>
      <c r="F37" s="9">
        <v>24</v>
      </c>
    </row>
    <row r="38" spans="1:6" x14ac:dyDescent="0.3">
      <c r="A38" s="4" t="s">
        <v>143</v>
      </c>
      <c r="B38" s="4">
        <v>20044</v>
      </c>
      <c r="C38" s="1" t="s">
        <v>5</v>
      </c>
      <c r="D38" s="9">
        <v>0</v>
      </c>
      <c r="E38" s="1" t="s">
        <v>6</v>
      </c>
      <c r="F38" s="9">
        <v>24</v>
      </c>
    </row>
    <row r="39" spans="1:6" x14ac:dyDescent="0.3">
      <c r="A39" s="4" t="s">
        <v>144</v>
      </c>
      <c r="B39" s="4">
        <v>20046</v>
      </c>
      <c r="C39" s="1" t="s">
        <v>5</v>
      </c>
      <c r="D39" s="9">
        <v>0</v>
      </c>
      <c r="E39" s="1" t="s">
        <v>6</v>
      </c>
      <c r="F39" s="9">
        <v>24</v>
      </c>
    </row>
    <row r="40" spans="1:6" x14ac:dyDescent="0.3">
      <c r="A40" s="4" t="s">
        <v>145</v>
      </c>
      <c r="B40" s="4">
        <v>20048</v>
      </c>
      <c r="C40" s="1" t="s">
        <v>5</v>
      </c>
      <c r="D40" s="9">
        <v>0</v>
      </c>
      <c r="E40" s="1" t="s">
        <v>6</v>
      </c>
      <c r="F40" s="9">
        <v>24</v>
      </c>
    </row>
    <row r="41" spans="1:6" x14ac:dyDescent="0.3">
      <c r="A41" s="4" t="s">
        <v>146</v>
      </c>
      <c r="B41" s="4">
        <v>20050</v>
      </c>
      <c r="C41" s="1" t="s">
        <v>5</v>
      </c>
      <c r="D41" s="9">
        <v>0</v>
      </c>
      <c r="E41" s="1" t="s">
        <v>6</v>
      </c>
      <c r="F41" s="9">
        <v>24</v>
      </c>
    </row>
    <row r="42" spans="1:6" x14ac:dyDescent="0.3">
      <c r="A42" s="4" t="s">
        <v>147</v>
      </c>
      <c r="B42" s="4">
        <v>20052</v>
      </c>
      <c r="C42" s="1" t="s">
        <v>5</v>
      </c>
      <c r="D42" s="9">
        <v>0</v>
      </c>
      <c r="E42" s="1" t="s">
        <v>6</v>
      </c>
      <c r="F42" s="9">
        <v>24</v>
      </c>
    </row>
    <row r="43" spans="1:6" x14ac:dyDescent="0.3">
      <c r="A43" s="4" t="s">
        <v>148</v>
      </c>
      <c r="B43" s="4">
        <v>20054</v>
      </c>
      <c r="C43" s="1" t="s">
        <v>5</v>
      </c>
      <c r="D43" s="9">
        <v>0</v>
      </c>
      <c r="E43" s="1" t="s">
        <v>6</v>
      </c>
      <c r="F43" s="9">
        <v>24</v>
      </c>
    </row>
    <row r="44" spans="1:6" x14ac:dyDescent="0.3">
      <c r="A44" s="4" t="s">
        <v>149</v>
      </c>
      <c r="B44" s="4">
        <v>20058</v>
      </c>
      <c r="C44" s="1" t="s">
        <v>5</v>
      </c>
      <c r="D44" s="9">
        <v>0</v>
      </c>
      <c r="E44" s="1" t="s">
        <v>6</v>
      </c>
      <c r="F44" s="9">
        <v>24</v>
      </c>
    </row>
    <row r="45" spans="1:6" x14ac:dyDescent="0.3">
      <c r="A45" s="4" t="s">
        <v>150</v>
      </c>
      <c r="B45" s="4">
        <v>20060</v>
      </c>
      <c r="C45" s="1" t="s">
        <v>5</v>
      </c>
      <c r="D45" s="9">
        <v>0</v>
      </c>
      <c r="E45" s="1" t="s">
        <v>6</v>
      </c>
      <c r="F45" s="9">
        <v>24</v>
      </c>
    </row>
    <row r="46" spans="1:6" x14ac:dyDescent="0.3">
      <c r="A46" s="4" t="s">
        <v>112</v>
      </c>
      <c r="B46" s="4">
        <v>21000</v>
      </c>
      <c r="C46" s="1" t="s">
        <v>5</v>
      </c>
      <c r="D46" s="9">
        <v>0</v>
      </c>
      <c r="E46" s="1" t="s">
        <v>6</v>
      </c>
      <c r="F46" s="9">
        <v>24</v>
      </c>
    </row>
    <row r="47" spans="1:6" x14ac:dyDescent="0.3">
      <c r="A47" s="4" t="s">
        <v>113</v>
      </c>
      <c r="B47" s="4">
        <v>21002</v>
      </c>
      <c r="C47" s="1" t="s">
        <v>5</v>
      </c>
      <c r="D47" s="9">
        <v>0</v>
      </c>
      <c r="E47" s="1" t="s">
        <v>6</v>
      </c>
      <c r="F47" s="9">
        <v>24</v>
      </c>
    </row>
    <row r="48" spans="1:6" x14ac:dyDescent="0.3">
      <c r="A48" s="4" t="s">
        <v>114</v>
      </c>
      <c r="B48" s="4">
        <v>21004</v>
      </c>
      <c r="C48" s="1" t="s">
        <v>5</v>
      </c>
      <c r="D48" s="9">
        <v>0</v>
      </c>
      <c r="E48" s="1" t="s">
        <v>6</v>
      </c>
      <c r="F48" s="9">
        <v>24</v>
      </c>
    </row>
    <row r="49" spans="1:6" x14ac:dyDescent="0.3">
      <c r="A49" s="4" t="s">
        <v>115</v>
      </c>
      <c r="B49" s="4">
        <v>21006</v>
      </c>
      <c r="C49" s="1" t="s">
        <v>5</v>
      </c>
      <c r="D49" s="9">
        <v>0</v>
      </c>
      <c r="E49" s="1" t="s">
        <v>6</v>
      </c>
      <c r="F49" s="9">
        <v>24</v>
      </c>
    </row>
    <row r="50" spans="1:6" x14ac:dyDescent="0.3">
      <c r="A50" s="4" t="s">
        <v>116</v>
      </c>
      <c r="B50" s="4">
        <v>21008</v>
      </c>
      <c r="C50" s="1" t="s">
        <v>5</v>
      </c>
      <c r="D50" s="9">
        <v>0</v>
      </c>
      <c r="E50" s="1" t="s">
        <v>6</v>
      </c>
      <c r="F50" s="9">
        <v>24</v>
      </c>
    </row>
    <row r="51" spans="1:6" x14ac:dyDescent="0.3">
      <c r="A51" s="4" t="s">
        <v>117</v>
      </c>
      <c r="B51" s="4">
        <v>21010</v>
      </c>
      <c r="C51" s="1" t="s">
        <v>5</v>
      </c>
      <c r="D51" s="9">
        <v>0</v>
      </c>
      <c r="E51" s="1" t="s">
        <v>6</v>
      </c>
      <c r="F51" s="9">
        <v>24</v>
      </c>
    </row>
    <row r="52" spans="1:6" x14ac:dyDescent="0.3">
      <c r="A52" s="4" t="s">
        <v>118</v>
      </c>
      <c r="B52" s="4">
        <v>21012</v>
      </c>
      <c r="C52" s="1" t="s">
        <v>5</v>
      </c>
      <c r="D52" s="9">
        <v>0</v>
      </c>
      <c r="E52" s="1" t="s">
        <v>6</v>
      </c>
      <c r="F52" s="9">
        <v>24</v>
      </c>
    </row>
    <row r="53" spans="1:6" x14ac:dyDescent="0.3">
      <c r="A53" s="4" t="s">
        <v>119</v>
      </c>
      <c r="B53" s="4">
        <v>21014</v>
      </c>
      <c r="C53" s="1" t="s">
        <v>5</v>
      </c>
      <c r="D53" s="9">
        <v>0</v>
      </c>
      <c r="E53" s="1" t="s">
        <v>6</v>
      </c>
      <c r="F53" s="9">
        <v>24</v>
      </c>
    </row>
    <row r="54" spans="1:6" x14ac:dyDescent="0.3">
      <c r="A54" s="6" t="s">
        <v>120</v>
      </c>
      <c r="B54" s="6">
        <v>21016</v>
      </c>
      <c r="C54" s="7" t="s">
        <v>5</v>
      </c>
      <c r="D54" s="10">
        <v>0</v>
      </c>
      <c r="E54" s="7" t="s">
        <v>6</v>
      </c>
      <c r="F54" s="10">
        <v>24</v>
      </c>
    </row>
  </sheetData>
  <mergeCells count="1">
    <mergeCell ref="B3:K8"/>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H22"/>
  <sheetViews>
    <sheetView zoomScaleNormal="100" workbookViewId="0">
      <selection activeCell="B4" sqref="B4:H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8" ht="21" x14ac:dyDescent="0.4">
      <c r="A1" s="34" t="s">
        <v>85</v>
      </c>
      <c r="B1" s="33" t="s">
        <v>166</v>
      </c>
    </row>
    <row r="2" spans="1:8" ht="18" x14ac:dyDescent="0.35">
      <c r="B2" s="32" t="s">
        <v>165</v>
      </c>
    </row>
    <row r="4" spans="1:8" x14ac:dyDescent="0.3">
      <c r="B4" s="73" t="s">
        <v>196</v>
      </c>
      <c r="C4" s="72"/>
      <c r="D4" s="72"/>
      <c r="E4" s="72"/>
      <c r="F4" s="72"/>
      <c r="G4" s="72"/>
      <c r="H4" s="72"/>
    </row>
    <row r="5" spans="1:8" x14ac:dyDescent="0.3">
      <c r="B5" s="72"/>
      <c r="C5" s="72"/>
      <c r="D5" s="72"/>
      <c r="E5" s="72"/>
      <c r="F5" s="72"/>
      <c r="G5" s="72"/>
      <c r="H5" s="72"/>
    </row>
    <row r="6" spans="1:8" ht="14.4" x14ac:dyDescent="0.3">
      <c r="A6" s="3" t="s">
        <v>53</v>
      </c>
      <c r="B6" s="72"/>
      <c r="C6" s="72"/>
      <c r="D6" s="72"/>
      <c r="E6" s="72"/>
      <c r="F6" s="72"/>
      <c r="G6" s="72"/>
      <c r="H6" s="72"/>
    </row>
    <row r="7" spans="1:8" ht="14.4" x14ac:dyDescent="0.3">
      <c r="A7" s="3" t="s">
        <v>152</v>
      </c>
      <c r="B7" s="72"/>
      <c r="C7" s="72"/>
      <c r="D7" s="72"/>
      <c r="E7" s="72"/>
      <c r="F7" s="72"/>
      <c r="G7" s="72"/>
      <c r="H7" s="72"/>
    </row>
    <row r="8" spans="1:8" x14ac:dyDescent="0.3">
      <c r="B8" s="72"/>
      <c r="C8" s="72"/>
      <c r="D8" s="72"/>
      <c r="E8" s="72"/>
      <c r="F8" s="72"/>
      <c r="G8" s="72"/>
      <c r="H8" s="72"/>
    </row>
    <row r="9" spans="1:8" x14ac:dyDescent="0.3">
      <c r="B9" s="72"/>
      <c r="C9" s="72"/>
      <c r="D9" s="72"/>
      <c r="E9" s="72"/>
      <c r="F9" s="72"/>
      <c r="G9" s="72"/>
      <c r="H9" s="72"/>
    </row>
    <row r="10" spans="1:8" ht="23.4" x14ac:dyDescent="0.45">
      <c r="A10" s="15" t="s">
        <v>161</v>
      </c>
    </row>
    <row r="11" spans="1:8" ht="14.4" x14ac:dyDescent="0.3">
      <c r="A11" s="25" t="s">
        <v>86</v>
      </c>
      <c r="B11" s="14" t="s">
        <v>87</v>
      </c>
      <c r="C11" s="14" t="s">
        <v>88</v>
      </c>
      <c r="D11" s="14" t="s">
        <v>88</v>
      </c>
    </row>
    <row r="12" spans="1:8" ht="14.4" x14ac:dyDescent="0.3">
      <c r="A12" s="25">
        <v>44927</v>
      </c>
      <c r="B12" s="14" t="s">
        <v>59</v>
      </c>
      <c r="C12" s="14">
        <v>200</v>
      </c>
      <c r="D12" s="22">
        <f>IFERROR(C12,20)</f>
        <v>200</v>
      </c>
    </row>
    <row r="13" spans="1:8" ht="14.4" x14ac:dyDescent="0.3">
      <c r="A13" s="25">
        <v>44928</v>
      </c>
      <c r="B13" s="14" t="s">
        <v>60</v>
      </c>
      <c r="C13" s="14" t="e">
        <v>#N/A</v>
      </c>
      <c r="D13" s="22">
        <f t="shared" ref="D13:D21" si="0">IFERROR(C13,20)</f>
        <v>20</v>
      </c>
    </row>
    <row r="14" spans="1:8" ht="14.4" x14ac:dyDescent="0.3">
      <c r="A14" s="25">
        <v>44929</v>
      </c>
      <c r="B14" s="14" t="s">
        <v>61</v>
      </c>
      <c r="C14" s="14">
        <v>50</v>
      </c>
      <c r="D14" s="22">
        <f t="shared" si="0"/>
        <v>50</v>
      </c>
    </row>
    <row r="15" spans="1:8" ht="14.4" x14ac:dyDescent="0.3">
      <c r="A15" s="25">
        <v>44930</v>
      </c>
      <c r="B15" s="14" t="s">
        <v>62</v>
      </c>
      <c r="C15" s="14" t="e">
        <v>#N/A</v>
      </c>
      <c r="D15" s="22">
        <f t="shared" si="0"/>
        <v>20</v>
      </c>
    </row>
    <row r="16" spans="1:8" ht="14.4" x14ac:dyDescent="0.3">
      <c r="A16" s="25">
        <v>44931</v>
      </c>
      <c r="B16" s="14" t="s">
        <v>63</v>
      </c>
      <c r="C16" s="14">
        <v>10</v>
      </c>
      <c r="D16" s="22">
        <f t="shared" si="0"/>
        <v>10</v>
      </c>
    </row>
    <row r="17" spans="1:4" ht="14.4" x14ac:dyDescent="0.3">
      <c r="A17" s="25">
        <v>44932</v>
      </c>
      <c r="B17" s="14" t="s">
        <v>153</v>
      </c>
      <c r="C17" s="14">
        <v>150</v>
      </c>
      <c r="D17" s="22">
        <f t="shared" si="0"/>
        <v>150</v>
      </c>
    </row>
    <row r="18" spans="1:4" ht="14.4" x14ac:dyDescent="0.3">
      <c r="A18" s="25">
        <v>44933</v>
      </c>
      <c r="B18" s="14" t="s">
        <v>154</v>
      </c>
      <c r="C18" s="14">
        <v>80</v>
      </c>
      <c r="D18" s="22">
        <f t="shared" si="0"/>
        <v>80</v>
      </c>
    </row>
    <row r="19" spans="1:4" ht="14.4" x14ac:dyDescent="0.3">
      <c r="A19" s="25">
        <v>44934</v>
      </c>
      <c r="B19" s="14" t="s">
        <v>155</v>
      </c>
      <c r="C19" s="14" t="e">
        <v>#N/A</v>
      </c>
      <c r="D19" s="22">
        <f t="shared" si="0"/>
        <v>20</v>
      </c>
    </row>
    <row r="20" spans="1:4" ht="14.4" x14ac:dyDescent="0.3">
      <c r="A20" s="25">
        <v>44935</v>
      </c>
      <c r="B20" s="14" t="s">
        <v>156</v>
      </c>
      <c r="C20" s="14">
        <v>30</v>
      </c>
      <c r="D20" s="22">
        <f t="shared" si="0"/>
        <v>30</v>
      </c>
    </row>
    <row r="21" spans="1:4" ht="14.4" x14ac:dyDescent="0.3">
      <c r="A21" s="25">
        <v>44936</v>
      </c>
      <c r="B21" s="14" t="s">
        <v>157</v>
      </c>
      <c r="C21" s="14" t="e">
        <v>#N/A</v>
      </c>
      <c r="D21" s="22">
        <f t="shared" si="0"/>
        <v>20</v>
      </c>
    </row>
    <row r="22" spans="1:4" ht="14.4" x14ac:dyDescent="0.3">
      <c r="B22" s="16" t="s">
        <v>158</v>
      </c>
      <c r="C22" s="22"/>
      <c r="D22" s="23">
        <f>SUM(D12:D21)</f>
        <v>600</v>
      </c>
    </row>
  </sheetData>
  <mergeCells count="1">
    <mergeCell ref="B4:H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Q35"/>
  <sheetViews>
    <sheetView tabSelected="1" topLeftCell="A8" zoomScaleNormal="100" workbookViewId="0">
      <selection activeCell="D21" sqref="D21"/>
    </sheetView>
  </sheetViews>
  <sheetFormatPr defaultColWidth="11" defaultRowHeight="13.8" x14ac:dyDescent="0.3"/>
  <cols>
    <col min="1" max="1" width="31.5546875" style="2" bestFit="1" customWidth="1"/>
    <col min="2" max="16384" width="11" style="2"/>
  </cols>
  <sheetData>
    <row r="1" spans="1:14" ht="21" x14ac:dyDescent="0.4">
      <c r="A1" s="34" t="s">
        <v>98</v>
      </c>
      <c r="B1" s="33" t="s">
        <v>174</v>
      </c>
    </row>
    <row r="3" spans="1:14" ht="14.4" customHeight="1" x14ac:dyDescent="0.3">
      <c r="B3" s="38"/>
      <c r="C3" s="39"/>
      <c r="D3" s="39"/>
      <c r="E3" s="39"/>
      <c r="F3" s="39"/>
      <c r="G3" s="39"/>
      <c r="H3" s="39"/>
      <c r="I3" s="39"/>
      <c r="J3" s="39"/>
    </row>
    <row r="4" spans="1:14" ht="18" x14ac:dyDescent="0.35">
      <c r="A4" s="35" t="s">
        <v>53</v>
      </c>
      <c r="B4" s="39"/>
    </row>
    <row r="5" spans="1:14" ht="18" x14ac:dyDescent="0.35">
      <c r="A5" s="35" t="s">
        <v>152</v>
      </c>
      <c r="B5" s="39"/>
    </row>
    <row r="6" spans="1:14" ht="14.4" x14ac:dyDescent="0.3">
      <c r="A6" s="3"/>
      <c r="B6" s="39"/>
    </row>
    <row r="7" spans="1:14" ht="14.4" customHeight="1" x14ac:dyDescent="0.3">
      <c r="B7" s="39"/>
    </row>
    <row r="8" spans="1:14" ht="23.4" x14ac:dyDescent="0.45">
      <c r="A8" s="15" t="s">
        <v>161</v>
      </c>
      <c r="M8" s="15" t="s">
        <v>162</v>
      </c>
    </row>
    <row r="9" spans="1:14" ht="14.4" x14ac:dyDescent="0.3">
      <c r="A9" s="23"/>
      <c r="B9" s="23" t="s">
        <v>89</v>
      </c>
      <c r="C9" s="23" t="s">
        <v>90</v>
      </c>
      <c r="D9" s="23" t="s">
        <v>91</v>
      </c>
      <c r="E9" s="23" t="s">
        <v>92</v>
      </c>
      <c r="F9" s="23" t="s">
        <v>93</v>
      </c>
      <c r="G9" s="23" t="s">
        <v>94</v>
      </c>
      <c r="H9" s="23" t="s">
        <v>95</v>
      </c>
      <c r="I9" s="23" t="s">
        <v>96</v>
      </c>
      <c r="J9" s="23" t="s">
        <v>97</v>
      </c>
      <c r="M9" s="16" t="s">
        <v>43</v>
      </c>
      <c r="N9" s="16" t="s">
        <v>99</v>
      </c>
    </row>
    <row r="10" spans="1:14" ht="14.4" x14ac:dyDescent="0.3">
      <c r="A10" s="23" t="s">
        <v>89</v>
      </c>
      <c r="B10" s="22">
        <v>-1</v>
      </c>
      <c r="C10" s="22">
        <v>95</v>
      </c>
      <c r="D10" s="22">
        <v>-1</v>
      </c>
      <c r="E10" s="22">
        <v>185</v>
      </c>
      <c r="F10" s="22">
        <v>255</v>
      </c>
      <c r="G10" s="22">
        <v>305</v>
      </c>
      <c r="H10" s="22">
        <v>415</v>
      </c>
      <c r="I10" s="22">
        <v>480</v>
      </c>
      <c r="J10" s="22">
        <v>525</v>
      </c>
      <c r="M10" s="9">
        <v>10100</v>
      </c>
      <c r="N10" s="9" t="s">
        <v>89</v>
      </c>
    </row>
    <row r="11" spans="1:14" ht="14.4" x14ac:dyDescent="0.3">
      <c r="A11" s="23" t="s">
        <v>90</v>
      </c>
      <c r="B11" s="22">
        <v>95</v>
      </c>
      <c r="C11" s="22">
        <v>-1</v>
      </c>
      <c r="D11" s="22">
        <v>-1</v>
      </c>
      <c r="E11" s="22">
        <v>90</v>
      </c>
      <c r="F11" s="22">
        <v>160</v>
      </c>
      <c r="G11" s="22">
        <v>210</v>
      </c>
      <c r="H11" s="22">
        <v>325</v>
      </c>
      <c r="I11" s="22">
        <v>390</v>
      </c>
      <c r="J11" s="22">
        <v>430</v>
      </c>
      <c r="M11" s="9">
        <v>10102</v>
      </c>
      <c r="N11" s="9" t="s">
        <v>90</v>
      </c>
    </row>
    <row r="12" spans="1:14" ht="14.4" x14ac:dyDescent="0.3">
      <c r="A12" s="23" t="s">
        <v>91</v>
      </c>
      <c r="B12" s="22">
        <v>-1</v>
      </c>
      <c r="C12" s="22">
        <v>-1</v>
      </c>
      <c r="D12" s="22">
        <v>-1</v>
      </c>
      <c r="E12" s="22">
        <v>60</v>
      </c>
      <c r="F12" s="22">
        <v>130</v>
      </c>
      <c r="G12" s="22">
        <v>180</v>
      </c>
      <c r="H12" s="22">
        <v>295</v>
      </c>
      <c r="I12" s="22">
        <v>355</v>
      </c>
      <c r="J12" s="22">
        <v>400</v>
      </c>
      <c r="M12" s="9">
        <v>10104</v>
      </c>
      <c r="N12" s="9" t="s">
        <v>91</v>
      </c>
    </row>
    <row r="13" spans="1:14" ht="14.4" x14ac:dyDescent="0.3">
      <c r="A13" s="23" t="s">
        <v>92</v>
      </c>
      <c r="B13" s="22">
        <v>185</v>
      </c>
      <c r="C13" s="22">
        <v>90</v>
      </c>
      <c r="D13" s="22">
        <v>60</v>
      </c>
      <c r="E13" s="22">
        <v>-1</v>
      </c>
      <c r="F13" s="22">
        <v>70</v>
      </c>
      <c r="G13" s="22">
        <v>120</v>
      </c>
      <c r="H13" s="22">
        <v>235</v>
      </c>
      <c r="I13" s="22">
        <v>300</v>
      </c>
      <c r="J13" s="22">
        <v>340</v>
      </c>
      <c r="M13" s="9">
        <v>10106</v>
      </c>
      <c r="N13" s="9" t="s">
        <v>92</v>
      </c>
    </row>
    <row r="14" spans="1:14" ht="14.4" x14ac:dyDescent="0.3">
      <c r="A14" s="23" t="s">
        <v>93</v>
      </c>
      <c r="B14" s="22">
        <v>255</v>
      </c>
      <c r="C14" s="22">
        <v>160</v>
      </c>
      <c r="D14" s="22">
        <v>130</v>
      </c>
      <c r="E14" s="22">
        <v>70</v>
      </c>
      <c r="F14" s="22">
        <v>-1</v>
      </c>
      <c r="G14" s="22">
        <v>50</v>
      </c>
      <c r="H14" s="22">
        <v>165</v>
      </c>
      <c r="I14" s="22">
        <v>230</v>
      </c>
      <c r="J14" s="22">
        <v>270</v>
      </c>
      <c r="M14" s="9">
        <v>10108</v>
      </c>
      <c r="N14" s="9" t="s">
        <v>93</v>
      </c>
    </row>
    <row r="15" spans="1:14" ht="14.4" x14ac:dyDescent="0.3">
      <c r="A15" s="23" t="s">
        <v>94</v>
      </c>
      <c r="B15" s="22">
        <v>305</v>
      </c>
      <c r="C15" s="22">
        <v>210</v>
      </c>
      <c r="D15" s="22">
        <v>180</v>
      </c>
      <c r="E15" s="22">
        <v>120</v>
      </c>
      <c r="F15" s="22">
        <v>50</v>
      </c>
      <c r="G15" s="22">
        <v>-1</v>
      </c>
      <c r="H15" s="22">
        <v>115</v>
      </c>
      <c r="I15" s="22">
        <v>180</v>
      </c>
      <c r="J15" s="22">
        <v>220</v>
      </c>
      <c r="M15" s="9">
        <v>10110</v>
      </c>
      <c r="N15" s="9" t="s">
        <v>94</v>
      </c>
    </row>
    <row r="16" spans="1:14" ht="14.4" x14ac:dyDescent="0.3">
      <c r="A16" s="23" t="s">
        <v>95</v>
      </c>
      <c r="B16" s="22">
        <v>415</v>
      </c>
      <c r="C16" s="22">
        <v>325</v>
      </c>
      <c r="D16" s="22">
        <v>295</v>
      </c>
      <c r="E16" s="22">
        <v>235</v>
      </c>
      <c r="F16" s="22">
        <v>165</v>
      </c>
      <c r="G16" s="22">
        <v>115</v>
      </c>
      <c r="H16" s="22">
        <v>-1</v>
      </c>
      <c r="I16" s="22">
        <v>65</v>
      </c>
      <c r="J16" s="22">
        <v>105</v>
      </c>
      <c r="M16" s="9">
        <v>10112</v>
      </c>
      <c r="N16" s="9" t="s">
        <v>95</v>
      </c>
    </row>
    <row r="17" spans="1:17" ht="14.4" x14ac:dyDescent="0.3">
      <c r="A17" s="23" t="s">
        <v>96</v>
      </c>
      <c r="B17" s="22">
        <v>480</v>
      </c>
      <c r="C17" s="22">
        <v>390</v>
      </c>
      <c r="D17" s="22">
        <v>355</v>
      </c>
      <c r="E17" s="22">
        <v>300</v>
      </c>
      <c r="F17" s="22">
        <v>230</v>
      </c>
      <c r="G17" s="22">
        <v>180</v>
      </c>
      <c r="H17" s="22">
        <v>65</v>
      </c>
      <c r="I17" s="22">
        <v>-1</v>
      </c>
      <c r="J17" s="22">
        <v>40</v>
      </c>
      <c r="M17" s="9">
        <v>10114</v>
      </c>
      <c r="N17" s="9" t="s">
        <v>96</v>
      </c>
    </row>
    <row r="18" spans="1:17" ht="14.4" x14ac:dyDescent="0.3">
      <c r="A18" s="23" t="s">
        <v>97</v>
      </c>
      <c r="B18" s="22">
        <v>525</v>
      </c>
      <c r="C18" s="22">
        <v>430</v>
      </c>
      <c r="D18" s="22">
        <v>400</v>
      </c>
      <c r="E18" s="22">
        <v>340</v>
      </c>
      <c r="F18" s="22">
        <v>270</v>
      </c>
      <c r="G18" s="22">
        <v>220</v>
      </c>
      <c r="H18" s="22">
        <v>105</v>
      </c>
      <c r="I18" s="22">
        <v>40</v>
      </c>
      <c r="J18" s="22">
        <v>-1</v>
      </c>
      <c r="M18" s="10">
        <v>10116</v>
      </c>
      <c r="N18" s="10" t="s">
        <v>97</v>
      </c>
    </row>
    <row r="21" spans="1:17" ht="23.4" x14ac:dyDescent="0.45">
      <c r="A21" s="15" t="s">
        <v>167</v>
      </c>
    </row>
    <row r="22" spans="1:17" ht="14.4" customHeight="1" x14ac:dyDescent="0.3">
      <c r="A22" s="11" t="s">
        <v>100</v>
      </c>
      <c r="B22" s="14" t="s">
        <v>101</v>
      </c>
      <c r="C22" s="13" t="s">
        <v>102</v>
      </c>
      <c r="E22" s="71" t="s">
        <v>197</v>
      </c>
      <c r="F22" s="72"/>
      <c r="G22" s="72"/>
      <c r="H22" s="72"/>
      <c r="I22" s="72"/>
      <c r="J22" s="72"/>
      <c r="K22" s="72"/>
      <c r="L22" s="72"/>
      <c r="M22" s="72"/>
      <c r="N22" s="72"/>
      <c r="O22" s="72"/>
      <c r="P22" s="72"/>
      <c r="Q22" s="39"/>
    </row>
    <row r="23" spans="1:17" ht="14.4" x14ac:dyDescent="0.3">
      <c r="A23" s="4">
        <v>10100</v>
      </c>
      <c r="B23" s="9">
        <v>10102</v>
      </c>
      <c r="C23" s="36">
        <f>INDEX($A$9:$J$18,MATCH(VLOOKUP(A23:A35,$M$9:$N$18,2,FALSE),$A$9:$A$18,0),MATCH(VLOOKUP(B23:B35,$M$9:$N$18,2,FALSE),$A$9:$J$9,0))</f>
        <v>95</v>
      </c>
      <c r="E23" s="72"/>
      <c r="F23" s="72"/>
      <c r="G23" s="72"/>
      <c r="H23" s="72"/>
      <c r="I23" s="72"/>
      <c r="J23" s="72"/>
      <c r="K23" s="72"/>
      <c r="L23" s="72"/>
      <c r="M23" s="72"/>
      <c r="N23" s="72"/>
      <c r="O23" s="72"/>
      <c r="P23" s="72"/>
      <c r="Q23" s="39"/>
    </row>
    <row r="24" spans="1:17" ht="14.4" x14ac:dyDescent="0.3">
      <c r="A24" s="4">
        <v>10100</v>
      </c>
      <c r="B24" s="9">
        <v>10104</v>
      </c>
      <c r="C24" s="36">
        <f t="shared" ref="C24:C35" si="0">INDEX($A$9:$J$18,MATCH(VLOOKUP(A24:A36,$M$9:$N$18,2,FALSE),$A$9:$A$18,0),MATCH(VLOOKUP(B24:B36,$M$9:$N$18,2,FALSE),$A$9:$J$9,0))</f>
        <v>-1</v>
      </c>
      <c r="E24" s="72"/>
      <c r="F24" s="72"/>
      <c r="G24" s="72"/>
      <c r="H24" s="72"/>
      <c r="I24" s="72"/>
      <c r="J24" s="72"/>
      <c r="K24" s="72"/>
      <c r="L24" s="72"/>
      <c r="M24" s="72"/>
      <c r="N24" s="72"/>
      <c r="O24" s="72"/>
      <c r="P24" s="72"/>
      <c r="Q24" s="39"/>
    </row>
    <row r="25" spans="1:17" ht="14.4" x14ac:dyDescent="0.3">
      <c r="A25" s="4">
        <v>10108</v>
      </c>
      <c r="B25" s="9">
        <v>10102</v>
      </c>
      <c r="C25" s="36">
        <f t="shared" si="0"/>
        <v>160</v>
      </c>
      <c r="E25" s="72"/>
      <c r="F25" s="72"/>
      <c r="G25" s="72"/>
      <c r="H25" s="72"/>
      <c r="I25" s="72"/>
      <c r="J25" s="72"/>
      <c r="K25" s="72"/>
      <c r="L25" s="72"/>
      <c r="M25" s="72"/>
      <c r="N25" s="72"/>
      <c r="O25" s="72"/>
      <c r="P25" s="72"/>
      <c r="Q25" s="39"/>
    </row>
    <row r="26" spans="1:17" ht="14.4" x14ac:dyDescent="0.3">
      <c r="A26" s="4">
        <v>10100</v>
      </c>
      <c r="B26" s="9">
        <v>10106</v>
      </c>
      <c r="C26" s="36">
        <f t="shared" si="0"/>
        <v>185</v>
      </c>
      <c r="E26" s="72"/>
      <c r="F26" s="72"/>
      <c r="G26" s="72"/>
      <c r="H26" s="72"/>
      <c r="I26" s="72"/>
      <c r="J26" s="72"/>
      <c r="K26" s="72"/>
      <c r="L26" s="72"/>
      <c r="M26" s="72"/>
      <c r="N26" s="72"/>
      <c r="O26" s="72"/>
      <c r="P26" s="72"/>
    </row>
    <row r="27" spans="1:17" ht="14.4" x14ac:dyDescent="0.3">
      <c r="A27" s="4">
        <v>10108</v>
      </c>
      <c r="B27" s="9">
        <v>10110</v>
      </c>
      <c r="C27" s="36">
        <f t="shared" si="0"/>
        <v>50</v>
      </c>
      <c r="E27" s="72"/>
      <c r="F27" s="72"/>
      <c r="G27" s="72"/>
      <c r="H27" s="72"/>
      <c r="I27" s="72"/>
      <c r="J27" s="72"/>
      <c r="K27" s="72"/>
      <c r="L27" s="72"/>
      <c r="M27" s="72"/>
      <c r="N27" s="72"/>
      <c r="O27" s="72"/>
      <c r="P27" s="72"/>
    </row>
    <row r="28" spans="1:17" ht="14.4" x14ac:dyDescent="0.3">
      <c r="A28" s="4">
        <v>10102</v>
      </c>
      <c r="B28" s="9">
        <v>10104</v>
      </c>
      <c r="C28" s="36">
        <f t="shared" si="0"/>
        <v>-1</v>
      </c>
      <c r="E28" s="72"/>
      <c r="F28" s="72"/>
      <c r="G28" s="72"/>
      <c r="H28" s="72"/>
      <c r="I28" s="72"/>
      <c r="J28" s="72"/>
      <c r="K28" s="72"/>
      <c r="L28" s="72"/>
      <c r="M28" s="72"/>
      <c r="N28" s="72"/>
      <c r="O28" s="72"/>
      <c r="P28" s="72"/>
    </row>
    <row r="29" spans="1:17" ht="14.4" x14ac:dyDescent="0.3">
      <c r="A29" s="4">
        <v>10106</v>
      </c>
      <c r="B29" s="9">
        <v>10108</v>
      </c>
      <c r="C29" s="36">
        <f t="shared" si="0"/>
        <v>70</v>
      </c>
      <c r="E29" s="72"/>
      <c r="F29" s="72"/>
      <c r="G29" s="72"/>
      <c r="H29" s="72"/>
      <c r="I29" s="72"/>
      <c r="J29" s="72"/>
      <c r="K29" s="72"/>
      <c r="L29" s="72"/>
      <c r="M29" s="72"/>
      <c r="N29" s="72"/>
      <c r="O29" s="72"/>
      <c r="P29" s="72"/>
    </row>
    <row r="30" spans="1:17" ht="14.4" x14ac:dyDescent="0.3">
      <c r="A30" s="4">
        <v>10102</v>
      </c>
      <c r="B30" s="9">
        <v>10106</v>
      </c>
      <c r="C30" s="36">
        <f t="shared" si="0"/>
        <v>90</v>
      </c>
      <c r="E30" s="72"/>
      <c r="F30" s="72"/>
      <c r="G30" s="72"/>
      <c r="H30" s="72"/>
      <c r="I30" s="72"/>
      <c r="J30" s="72"/>
      <c r="K30" s="72"/>
      <c r="L30" s="72"/>
      <c r="M30" s="72"/>
      <c r="N30" s="72"/>
      <c r="O30" s="72"/>
      <c r="P30" s="72"/>
    </row>
    <row r="31" spans="1:17" ht="14.4" x14ac:dyDescent="0.3">
      <c r="A31" s="4">
        <v>10110</v>
      </c>
      <c r="B31" s="9">
        <v>10114</v>
      </c>
      <c r="C31" s="36">
        <f t="shared" si="0"/>
        <v>180</v>
      </c>
      <c r="E31" s="72"/>
      <c r="F31" s="72"/>
      <c r="G31" s="72"/>
      <c r="H31" s="72"/>
      <c r="I31" s="72"/>
      <c r="J31" s="72"/>
      <c r="K31" s="72"/>
      <c r="L31" s="72"/>
      <c r="M31" s="72"/>
      <c r="N31" s="72"/>
      <c r="O31" s="72"/>
      <c r="P31" s="72"/>
    </row>
    <row r="32" spans="1:17" ht="14.4" x14ac:dyDescent="0.3">
      <c r="A32" s="4">
        <v>10104</v>
      </c>
      <c r="B32" s="9">
        <v>10106</v>
      </c>
      <c r="C32" s="36">
        <f t="shared" si="0"/>
        <v>60</v>
      </c>
      <c r="E32" s="72"/>
      <c r="F32" s="72"/>
      <c r="G32" s="72"/>
      <c r="H32" s="72"/>
      <c r="I32" s="72"/>
      <c r="J32" s="72"/>
      <c r="K32" s="72"/>
      <c r="L32" s="72"/>
      <c r="M32" s="72"/>
      <c r="N32" s="72"/>
      <c r="O32" s="72"/>
      <c r="P32" s="72"/>
    </row>
    <row r="33" spans="1:16" ht="14.4" x14ac:dyDescent="0.3">
      <c r="A33" s="4">
        <v>10110</v>
      </c>
      <c r="B33" s="9">
        <v>10112</v>
      </c>
      <c r="C33" s="36">
        <f t="shared" si="0"/>
        <v>115</v>
      </c>
      <c r="E33" s="72"/>
      <c r="F33" s="72"/>
      <c r="G33" s="72"/>
      <c r="H33" s="72"/>
      <c r="I33" s="72"/>
      <c r="J33" s="72"/>
      <c r="K33" s="72"/>
      <c r="L33" s="72"/>
      <c r="M33" s="72"/>
      <c r="N33" s="72"/>
      <c r="O33" s="72"/>
      <c r="P33" s="72"/>
    </row>
    <row r="34" spans="1:16" ht="14.4" x14ac:dyDescent="0.3">
      <c r="A34" s="4">
        <v>10100</v>
      </c>
      <c r="B34" s="9">
        <v>10114</v>
      </c>
      <c r="C34" s="36">
        <f t="shared" si="0"/>
        <v>480</v>
      </c>
    </row>
    <row r="35" spans="1:16" ht="14.4" x14ac:dyDescent="0.3">
      <c r="A35" s="6">
        <v>10112</v>
      </c>
      <c r="B35" s="10">
        <v>10116</v>
      </c>
      <c r="C35" s="70">
        <f t="shared" si="0"/>
        <v>105</v>
      </c>
    </row>
  </sheetData>
  <mergeCells count="1">
    <mergeCell ref="E22:P3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Ajay Zad</cp:lastModifiedBy>
  <dcterms:created xsi:type="dcterms:W3CDTF">2015-02-10T17:33:11Z</dcterms:created>
  <dcterms:modified xsi:type="dcterms:W3CDTF">2024-10-23T08:21:23Z</dcterms:modified>
</cp:coreProperties>
</file>